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Thiranex\SkillCraft\"/>
    </mc:Choice>
  </mc:AlternateContent>
  <bookViews>
    <workbookView xWindow="240" yWindow="20" windowWidth="16100" windowHeight="9660" activeTab="1"/>
  </bookViews>
  <sheets>
    <sheet name="Sheet2" sheetId="2" r:id="rId1"/>
    <sheet name="Dashboard" sheetId="3" r:id="rId2"/>
    <sheet name="Sheet1" sheetId="1" r:id="rId3"/>
  </sheets>
  <calcPr calcId="162913"/>
  <pivotCaches>
    <pivotCache cacheId="11" r:id="rId4"/>
  </pivotCaches>
</workbook>
</file>

<file path=xl/calcChain.xml><?xml version="1.0" encoding="utf-8"?>
<calcChain xmlns="http://schemas.openxmlformats.org/spreadsheetml/2006/main">
  <c r="K3" i="3" l="1"/>
  <c r="H3" i="3"/>
  <c r="E3" i="3"/>
  <c r="B3" i="3"/>
</calcChain>
</file>

<file path=xl/sharedStrings.xml><?xml version="1.0" encoding="utf-8"?>
<sst xmlns="http://schemas.openxmlformats.org/spreadsheetml/2006/main" count="7949" uniqueCount="51">
  <si>
    <t>Date</t>
  </si>
  <si>
    <t>Region</t>
  </si>
  <si>
    <t>Product</t>
  </si>
  <si>
    <t>Salesperson</t>
  </si>
  <si>
    <t>Units_Sold</t>
  </si>
  <si>
    <t>Unit_Price</t>
  </si>
  <si>
    <t>Category</t>
  </si>
  <si>
    <t>Revenue</t>
  </si>
  <si>
    <t>Cost</t>
  </si>
  <si>
    <t>Profit</t>
  </si>
  <si>
    <t>North</t>
  </si>
  <si>
    <t>West</t>
  </si>
  <si>
    <t>East</t>
  </si>
  <si>
    <t>South</t>
  </si>
  <si>
    <t>south</t>
  </si>
  <si>
    <t>NORTH</t>
  </si>
  <si>
    <t>north</t>
  </si>
  <si>
    <t>Smartwatch</t>
  </si>
  <si>
    <t>Monitor</t>
  </si>
  <si>
    <t>Mobile</t>
  </si>
  <si>
    <t>Headphones</t>
  </si>
  <si>
    <t>Camera</t>
  </si>
  <si>
    <t>Laptop</t>
  </si>
  <si>
    <t>Printer</t>
  </si>
  <si>
    <t>Tablet</t>
  </si>
  <si>
    <t>tabllet</t>
  </si>
  <si>
    <t>MOBLIE</t>
  </si>
  <si>
    <t>SMARTWATCH</t>
  </si>
  <si>
    <t>headPhones</t>
  </si>
  <si>
    <t>laptop</t>
  </si>
  <si>
    <t>Hannah</t>
  </si>
  <si>
    <t>Eva</t>
  </si>
  <si>
    <t>Bob</t>
  </si>
  <si>
    <t>Charlie</t>
  </si>
  <si>
    <t>Grace</t>
  </si>
  <si>
    <t>Alice</t>
  </si>
  <si>
    <t>David</t>
  </si>
  <si>
    <t>Frank</t>
  </si>
  <si>
    <t>Accessories</t>
  </si>
  <si>
    <t>Office</t>
  </si>
  <si>
    <t>Electronics</t>
  </si>
  <si>
    <t>Row Labels</t>
  </si>
  <si>
    <t>Grand Total</t>
  </si>
  <si>
    <t>Sum of Revenue</t>
  </si>
  <si>
    <t>Sum of Profit</t>
  </si>
  <si>
    <t>SALES PERFORMANCE DASHBOARD</t>
  </si>
  <si>
    <t>Total Revenue</t>
  </si>
  <si>
    <t>Total Profit</t>
  </si>
  <si>
    <t>Total Units Sold</t>
  </si>
  <si>
    <t>Total Products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</si>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</sst>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yyyy\-mm\-dd\ hh:mm:ss"/>
    <numFmt numFmtId="166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6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0" xfId="0" applyFont="1" applyFill="1"/>
    <xf numFmtId="166" fontId="3" fillId="3" borderId="0" xfId="1" applyNumberFormat="1" applyFont="1" applyFill="1"/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5371991</c:v>
                </c:pt>
                <c:pt idx="1">
                  <c:v>10603574</c:v>
                </c:pt>
                <c:pt idx="2">
                  <c:v>4744002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B-4BD0-9F45-3D66DD7A5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81040"/>
        <c:axId val="42276048"/>
      </c:barChart>
      <c:catAx>
        <c:axId val="4228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6048"/>
        <c:crosses val="autoZero"/>
        <c:auto val="1"/>
        <c:lblAlgn val="ctr"/>
        <c:lblOffset val="100"/>
        <c:noMultiLvlLbl val="0"/>
      </c:catAx>
      <c:valAx>
        <c:axId val="422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[Sales_Dashboard_Task1.xlsx]Sheet2!PivotTable2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Sheet2!$E$4:$E$9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Sheet2!$F$4:$F$9</c:f>
              <c:numCache>
                <c:formatCode>General</c:formatCode>
                <c:ptCount val="5"/>
                <c:pt idx="0">
                  <c:v>1241229.2140551682</c:v>
                </c:pt>
                <c:pt idx="1">
                  <c:v>1288586.5077036875</c:v>
                </c:pt>
                <c:pt idx="2">
                  <c:v>1213721.3056156337</c:v>
                </c:pt>
                <c:pt idx="3">
                  <c:v>1399591.8009632414</c:v>
                </c:pt>
                <c:pt idx="4">
                  <c:v>82178.244985329467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D-457C-995A-DAF01AA8E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501024"/>
        <c:axId val="1918506848"/>
      </c:barChart>
      <c:catAx>
        <c:axId val="19185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06848"/>
        <c:crosses val="autoZero"/>
        <c:auto val="1"/>
        <c:lblAlgn val="ctr"/>
        <c:lblOffset val="100"/>
        <c:noMultiLvlLbl val="0"/>
      </c:catAx>
      <c:valAx>
        <c:axId val="19185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5</xdr:row>
      <xdr:rowOff>6350</xdr:rowOff>
    </xdr:from>
    <xdr:to>
      <xdr:col>6</xdr:col>
      <xdr:colOff>0</xdr:colOff>
      <xdr:row>16</xdr:row>
      <xdr:rowOff>177800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5</xdr:row>
      <xdr:rowOff>6350</xdr:rowOff>
    </xdr:from>
    <xdr:to>
      <xdr:col>12</xdr:col>
      <xdr:colOff>31750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98.629930671297" createdVersion="6" refreshedVersion="6" minRefreshableVersion="3" recordCount="2000">
  <cacheSource type="worksheet">
    <worksheetSource name="Table1"/>
  </cacheSource>
  <cacheFields count="10">
    <cacheField name="Date" numFmtId="164">
      <sharedItems containsSemiMixedTypes="0" containsNonDate="0" containsDate="1" containsString="0" minDate="2024-01-01T00:00:00" maxDate="2025-01-01T00:00:00"/>
    </cacheField>
    <cacheField name="Region" numFmtId="0">
      <sharedItems containsBlank="1" count="8">
        <s v="North"/>
        <s v="West"/>
        <s v="East"/>
        <s v="South"/>
        <s v="Unknown"/>
        <m u="1"/>
        <s v="Easst" u="1"/>
        <s v="westt" u="1"/>
      </sharedItems>
    </cacheField>
    <cacheField name="Product" numFmtId="0">
      <sharedItems containsBlank="1"/>
    </cacheField>
    <cacheField name="Salesperson" numFmtId="0">
      <sharedItems containsBlank="1"/>
    </cacheField>
    <cacheField name="Units_Sold" numFmtId="0">
      <sharedItems containsString="0" containsBlank="1" containsNumber="1" containsInteger="1" minValue="-5" maxValue="19"/>
    </cacheField>
    <cacheField name="Unit_Price" numFmtId="0">
      <sharedItems containsString="0" containsBlank="1" containsNumber="1" containsInteger="1" minValue="-100" maxValue="1997"/>
    </cacheField>
    <cacheField name="Category" numFmtId="0">
      <sharedItems count="3">
        <s v="Accessories"/>
        <s v="Office"/>
        <s v="Electronics"/>
      </sharedItems>
    </cacheField>
    <cacheField name="Revenue" numFmtId="0">
      <sharedItems containsString="0" containsBlank="1" containsNumber="1" containsInteger="1" minValue="-8975" maxValue="37715"/>
    </cacheField>
    <cacheField name="Cost" numFmtId="0">
      <sharedItems containsString="0" containsBlank="1" containsNumber="1" minValue="-7905.6957244527039" maxValue="31723.72491459626"/>
    </cacheField>
    <cacheField name="Profit" numFmtId="0">
      <sharedItems containsString="0" containsBlank="1" containsNumber="1" minValue="-1069.3042755472959" maxValue="14409.77071784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d v="2024-04-12T00:00:00"/>
    <x v="0"/>
    <s v="Smartwatch"/>
    <s v="Hannah"/>
    <n v="15"/>
    <n v="1224"/>
    <x v="0"/>
    <n v="18360"/>
    <n v="16451.634257536429"/>
    <n v="1908.365742463571"/>
  </r>
  <r>
    <d v="2024-12-14T00:00:00"/>
    <x v="0"/>
    <s v="Monitor"/>
    <s v="Eva"/>
    <n v="5"/>
    <n v="1321"/>
    <x v="1"/>
    <n v="6605"/>
    <n v="4457.3517267107454"/>
    <n v="2147.648273289255"/>
  </r>
  <r>
    <d v="2024-09-27T00:00:00"/>
    <x v="0"/>
    <s v="Mobile"/>
    <s v="Bob"/>
    <n v="11"/>
    <n v="912"/>
    <x v="2"/>
    <n v="10032"/>
    <n v="6563.6441262533353"/>
    <n v="3468.3558737466651"/>
  </r>
  <r>
    <d v="2024-04-16T00:00:00"/>
    <x v="1"/>
    <s v="Monitor"/>
    <s v="Charlie"/>
    <n v="18"/>
    <n v="325"/>
    <x v="1"/>
    <n v="5850"/>
    <n v="4320.8070916033794"/>
    <n v="1529.1929083966211"/>
  </r>
  <r>
    <d v="2024-03-12T00:00:00"/>
    <x v="1"/>
    <s v="Headphones"/>
    <s v="Eva"/>
    <n v="13"/>
    <n v="1042"/>
    <x v="0"/>
    <n v="13546"/>
    <n v="8270.122665544859"/>
    <n v="5275.877334455141"/>
  </r>
  <r>
    <d v="2024-07-07T00:00:00"/>
    <x v="1"/>
    <s v="Monitor"/>
    <s v="Charlie"/>
    <n v="11"/>
    <n v="562"/>
    <x v="1"/>
    <n v="6182"/>
    <n v="5177.5199831477194"/>
    <n v="1004.480016852281"/>
  </r>
  <r>
    <d v="2024-01-21T00:00:00"/>
    <x v="1"/>
    <s v="Headphones"/>
    <s v="Charlie"/>
    <n v="14"/>
    <n v="336"/>
    <x v="0"/>
    <n v="4704"/>
    <n v="4069.5621103550811"/>
    <n v="634.43788964491932"/>
  </r>
  <r>
    <d v="2024-04-12T00:00:00"/>
    <x v="2"/>
    <s v="Camera"/>
    <s v="Grace"/>
    <n v="18"/>
    <n v="1149"/>
    <x v="2"/>
    <n v="20682"/>
    <n v="16665.801914852022"/>
    <n v="4016.1980851479821"/>
  </r>
  <r>
    <d v="2024-05-01T00:00:00"/>
    <x v="2"/>
    <s v="Laptop"/>
    <s v="Grace"/>
    <n v="19"/>
    <n v="1244"/>
    <x v="2"/>
    <n v="23636"/>
    <n v="16081.89912017564"/>
    <n v="7554.1008798243583"/>
  </r>
  <r>
    <d v="2024-08-02T00:00:00"/>
    <x v="3"/>
    <s v="Printer"/>
    <s v="Hannah"/>
    <n v="15"/>
    <n v="605"/>
    <x v="1"/>
    <n v="9075"/>
    <n v="5780.2907779344814"/>
    <n v="3294.709222065519"/>
  </r>
  <r>
    <d v="2024-11-26T00:00:00"/>
    <x v="1"/>
    <s v="Headphones"/>
    <m/>
    <n v="9"/>
    <n v="1305"/>
    <x v="0"/>
    <n v="11745"/>
    <n v="8393.4850461357255"/>
    <n v="3351.514953864275"/>
  </r>
  <r>
    <d v="2024-03-28T00:00:00"/>
    <x v="2"/>
    <s v="Laptop"/>
    <s v="Eva"/>
    <n v="8"/>
    <n v="1834"/>
    <x v="2"/>
    <n v="14672"/>
    <n v="12471.210067215919"/>
    <n v="2200.7899327840751"/>
  </r>
  <r>
    <d v="2024-04-09T00:00:00"/>
    <x v="0"/>
    <s v="Smartwatch"/>
    <s v="Alice"/>
    <n v="1"/>
    <n v="913"/>
    <x v="0"/>
    <n v="913"/>
    <n v="643.07003545701684"/>
    <n v="269.92996454298321"/>
  </r>
  <r>
    <d v="2024-12-25T00:00:00"/>
    <x v="1"/>
    <s v="Mobile"/>
    <s v="Charlie"/>
    <n v="4"/>
    <n v="866"/>
    <x v="2"/>
    <n v="3464"/>
    <n v="2113.9973529128042"/>
    <n v="1350.002647087196"/>
  </r>
  <r>
    <d v="2024-05-31T00:00:00"/>
    <x v="3"/>
    <s v="Smartwatch"/>
    <s v="David"/>
    <n v="14"/>
    <m/>
    <x v="0"/>
    <m/>
    <m/>
    <m/>
  </r>
  <r>
    <d v="2024-05-10T00:00:00"/>
    <x v="3"/>
    <s v="Camera"/>
    <s v="Charlie"/>
    <n v="2"/>
    <n v="1666"/>
    <x v="2"/>
    <n v="3332"/>
    <n v="2988.749631831693"/>
    <n v="343.25036816830738"/>
  </r>
  <r>
    <d v="2024-05-29T00:00:00"/>
    <x v="3"/>
    <s v="Monitor"/>
    <s v="Charlie"/>
    <n v="16"/>
    <n v="1438"/>
    <x v="1"/>
    <n v="23008"/>
    <n v="18475.438419108192"/>
    <n v="4532.5615808918083"/>
  </r>
  <r>
    <d v="2024-11-04T00:00:00"/>
    <x v="0"/>
    <s v="Monitor"/>
    <s v="Eva"/>
    <n v="3"/>
    <n v="1090"/>
    <x v="1"/>
    <n v="3270"/>
    <n v="2845.7385882075619"/>
    <n v="424.26141179243768"/>
  </r>
  <r>
    <d v="2024-09-14T00:00:00"/>
    <x v="2"/>
    <s v="Tablet"/>
    <s v="Charlie"/>
    <n v="8"/>
    <n v="1920"/>
    <x v="2"/>
    <n v="15360"/>
    <n v="12786.579152645099"/>
    <n v="2573.420847354897"/>
  </r>
  <r>
    <d v="2024-12-09T00:00:00"/>
    <x v="0"/>
    <s v="Tablet"/>
    <s v="Frank"/>
    <n v="6"/>
    <n v="717"/>
    <x v="2"/>
    <n v="4302"/>
    <n v="3277.743938080549"/>
    <n v="1024.256061919451"/>
  </r>
  <r>
    <d v="2024-10-20T00:00:00"/>
    <x v="1"/>
    <s v="Tablet"/>
    <s v="Charlie"/>
    <n v="16"/>
    <n v="1859"/>
    <x v="2"/>
    <n v="29744"/>
    <n v="19173.18054615489"/>
    <n v="10570.81945384511"/>
  </r>
  <r>
    <d v="2024-07-10T00:00:00"/>
    <x v="3"/>
    <s v="Smartwatch"/>
    <s v="Frank"/>
    <n v="16"/>
    <n v="372"/>
    <x v="0"/>
    <n v="5952"/>
    <n v="4193.73958055197"/>
    <n v="1758.26041944803"/>
  </r>
  <r>
    <d v="2024-10-03T00:00:00"/>
    <x v="0"/>
    <s v="Headphones"/>
    <s v="Grace"/>
    <n v="7"/>
    <n v="331"/>
    <x v="0"/>
    <n v="2317"/>
    <n v="1795.9578305881121"/>
    <n v="521.04216941188815"/>
  </r>
  <r>
    <d v="2024-06-09T00:00:00"/>
    <x v="0"/>
    <s v="Mobile"/>
    <s v="David"/>
    <n v="13"/>
    <n v="1543"/>
    <x v="2"/>
    <n v="20059"/>
    <n v="17274.604284964509"/>
    <n v="2784.395715035495"/>
  </r>
  <r>
    <d v="2024-11-09T00:00:00"/>
    <x v="2"/>
    <s v="Tablet"/>
    <s v="Hannah"/>
    <n v="13"/>
    <n v="867"/>
    <x v="2"/>
    <n v="11271"/>
    <n v="7671.0709325829848"/>
    <n v="3599.9290674170152"/>
  </r>
  <r>
    <d v="2024-01-22T00:00:00"/>
    <x v="2"/>
    <s v="Camera"/>
    <s v="Eva"/>
    <n v="5"/>
    <n v="1565"/>
    <x v="2"/>
    <n v="7825"/>
    <n v="4979.580075776189"/>
    <n v="2845.419924223811"/>
  </r>
  <r>
    <d v="2024-09-09T00:00:00"/>
    <x v="3"/>
    <s v="Camera"/>
    <s v="Charlie"/>
    <n v="18"/>
    <n v="595"/>
    <x v="2"/>
    <n v="10710"/>
    <n v="8221.5282363036276"/>
    <n v="2488.4717636963719"/>
  </r>
  <r>
    <d v="2024-08-23T00:00:00"/>
    <x v="0"/>
    <m/>
    <s v="Frank"/>
    <n v="15"/>
    <n v="1147"/>
    <x v="2"/>
    <n v="17205"/>
    <n v="11234.011060026951"/>
    <n v="5970.9889399730546"/>
  </r>
  <r>
    <d v="2024-12-10T00:00:00"/>
    <x v="0"/>
    <s v="Monitor"/>
    <s v="Frank"/>
    <n v="18"/>
    <n v="1232"/>
    <x v="1"/>
    <n v="22176"/>
    <n v="17366.214778944781"/>
    <n v="4809.7852210552192"/>
  </r>
  <r>
    <d v="2024-02-18T00:00:00"/>
    <x v="2"/>
    <s v="Tablet"/>
    <s v="Grace"/>
    <n v="2"/>
    <n v="1826"/>
    <x v="2"/>
    <n v="3652"/>
    <n v="2479.9140923851769"/>
    <n v="1172.0859076148231"/>
  </r>
  <r>
    <d v="2024-02-28T00:00:00"/>
    <x v="0"/>
    <s v="Mobile"/>
    <s v="Frank"/>
    <n v="10"/>
    <n v="601"/>
    <x v="2"/>
    <n v="6010"/>
    <n v="4022.4262967540262"/>
    <n v="1987.573703245974"/>
  </r>
  <r>
    <d v="2024-06-18T00:00:00"/>
    <x v="0"/>
    <s v="Tablet"/>
    <s v="Hannah"/>
    <n v="13"/>
    <n v="1982"/>
    <x v="2"/>
    <n v="25766"/>
    <n v="18545.18747721113"/>
    <n v="7220.8125227888704"/>
  </r>
  <r>
    <d v="2024-07-06T00:00:00"/>
    <x v="0"/>
    <s v="Mobile"/>
    <s v="Bob"/>
    <n v="18"/>
    <n v="124"/>
    <x v="2"/>
    <n v="2232"/>
    <n v="1736.4012008608011"/>
    <n v="495.5987991391994"/>
  </r>
  <r>
    <d v="2024-09-27T00:00:00"/>
    <x v="2"/>
    <s v="Camera"/>
    <s v="Alice"/>
    <n v="15"/>
    <n v="1310"/>
    <x v="2"/>
    <n v="19650"/>
    <n v="15004.6476820362"/>
    <n v="4645.3523179638014"/>
  </r>
  <r>
    <d v="2024-07-08T00:00:00"/>
    <x v="3"/>
    <s v="Tablet"/>
    <s v="Hannah"/>
    <m/>
    <n v="387"/>
    <x v="2"/>
    <m/>
    <m/>
    <m/>
  </r>
  <r>
    <d v="2024-06-23T00:00:00"/>
    <x v="1"/>
    <s v="Smartwatch"/>
    <s v="David"/>
    <n v="15"/>
    <n v="1751"/>
    <x v="0"/>
    <n v="26265"/>
    <n v="22780.553836355379"/>
    <n v="3484.4461636446208"/>
  </r>
  <r>
    <d v="2024-02-20T00:00:00"/>
    <x v="3"/>
    <s v="Printer"/>
    <s v="Hannah"/>
    <n v="13"/>
    <n v="437"/>
    <x v="1"/>
    <n v="5681"/>
    <n v="3595.871841019703"/>
    <n v="2085.128158980297"/>
  </r>
  <r>
    <d v="2024-12-29T00:00:00"/>
    <x v="1"/>
    <s v="Smartwatch"/>
    <s v="Grace"/>
    <n v="18"/>
    <n v="1160"/>
    <x v="0"/>
    <n v="20880"/>
    <n v="12775.224815097639"/>
    <n v="8104.7751849023643"/>
  </r>
  <r>
    <d v="2024-02-24T00:00:00"/>
    <x v="0"/>
    <s v="Camera"/>
    <s v="Grace"/>
    <n v="15"/>
    <n v="1917"/>
    <x v="2"/>
    <n v="28755"/>
    <n v="22452.245633032559"/>
    <n v="6302.7543669674378"/>
  </r>
  <r>
    <d v="2024-08-31T00:00:00"/>
    <x v="3"/>
    <s v="Mobile"/>
    <s v="Hannah"/>
    <n v="11"/>
    <n v="236"/>
    <x v="2"/>
    <n v="2596"/>
    <n v="1653.7095024893929"/>
    <n v="942.29049751060688"/>
  </r>
  <r>
    <d v="2024-11-15T00:00:00"/>
    <x v="1"/>
    <s v="Smartwatch"/>
    <s v="Charlie"/>
    <n v="19"/>
    <n v="607"/>
    <x v="0"/>
    <n v="11533"/>
    <n v="8666.6717283237776"/>
    <n v="2866.3282716762219"/>
  </r>
  <r>
    <d v="2024-05-10T00:00:00"/>
    <x v="2"/>
    <s v="Mobile"/>
    <s v="Bob"/>
    <n v="3"/>
    <n v="326"/>
    <x v="2"/>
    <n v="978"/>
    <n v="866.05028164578619"/>
    <n v="111.9497183542138"/>
  </r>
  <r>
    <d v="2024-11-02T00:00:00"/>
    <x v="2"/>
    <s v="Smartwatch"/>
    <s v="Charlie"/>
    <n v="7"/>
    <n v="419"/>
    <x v="0"/>
    <n v="2933"/>
    <n v="2374.4807808513101"/>
    <n v="558.51921914869035"/>
  </r>
  <r>
    <d v="2024-05-14T00:00:00"/>
    <x v="3"/>
    <s v="Smartwatch"/>
    <s v="Charlie"/>
    <n v="14"/>
    <n v="1963"/>
    <x v="0"/>
    <n v="27482"/>
    <n v="21579.882522747379"/>
    <n v="5902.1174772526247"/>
  </r>
  <r>
    <d v="2024-01-21T00:00:00"/>
    <x v="3"/>
    <s v="Mobile"/>
    <s v="Hannah"/>
    <n v="14"/>
    <n v="1015"/>
    <x v="2"/>
    <n v="14210"/>
    <n v="10976.39467363053"/>
    <n v="3233.6053263694671"/>
  </r>
  <r>
    <d v="2024-11-24T00:00:00"/>
    <x v="0"/>
    <s v="Headphones"/>
    <s v="Eva"/>
    <n v="13"/>
    <n v="1305"/>
    <x v="0"/>
    <n v="16965"/>
    <n v="11092.765024069829"/>
    <n v="5872.2349759301724"/>
  </r>
  <r>
    <d v="2024-06-15T00:00:00"/>
    <x v="3"/>
    <s v="Smartwatch"/>
    <s v="Eva"/>
    <n v="12"/>
    <n v="1997"/>
    <x v="0"/>
    <n v="23964"/>
    <n v="17488.79174081637"/>
    <n v="6475.2082591836333"/>
  </r>
  <r>
    <d v="2024-09-30T00:00:00"/>
    <x v="0"/>
    <s v="Tablet"/>
    <s v="Eva"/>
    <n v="9"/>
    <n v="185"/>
    <x v="2"/>
    <n v="1665"/>
    <n v="1170.0904919296979"/>
    <n v="494.90950807030231"/>
  </r>
  <r>
    <d v="2024-03-29T00:00:00"/>
    <x v="0"/>
    <s v="Printer"/>
    <s v="Bob"/>
    <n v="1"/>
    <n v="1590"/>
    <x v="1"/>
    <n v="1590"/>
    <n v="1408.616451699924"/>
    <n v="181.3835483000762"/>
  </r>
  <r>
    <d v="2024-11-11T00:00:00"/>
    <x v="2"/>
    <s v="Camera"/>
    <s v="Charlie"/>
    <n v="19"/>
    <n v="1025"/>
    <x v="2"/>
    <n v="19475"/>
    <n v="13100.75595178346"/>
    <n v="6374.2440482165384"/>
  </r>
  <r>
    <d v="2024-01-14T00:00:00"/>
    <x v="2"/>
    <s v="Headphones"/>
    <s v="Alice"/>
    <n v="11"/>
    <n v="152"/>
    <x v="0"/>
    <n v="1672"/>
    <n v="1239.712611892259"/>
    <n v="432.28738810774081"/>
  </r>
  <r>
    <d v="2024-08-29T00:00:00"/>
    <x v="1"/>
    <s v="Mobile"/>
    <s v="David"/>
    <n v="19"/>
    <n v="959"/>
    <x v="2"/>
    <n v="18221"/>
    <n v="16060.423223476961"/>
    <n v="2160.5767765230362"/>
  </r>
  <r>
    <d v="2024-09-21T00:00:00"/>
    <x v="2"/>
    <s v="Headphones"/>
    <s v="Eva"/>
    <n v="18"/>
    <n v="966"/>
    <x v="0"/>
    <n v="17388"/>
    <n v="14549.481955384441"/>
    <n v="2838.5180446155568"/>
  </r>
  <r>
    <d v="2024-12-11T00:00:00"/>
    <x v="2"/>
    <m/>
    <s v="Eva"/>
    <m/>
    <n v="1358"/>
    <x v="2"/>
    <m/>
    <m/>
    <m/>
  </r>
  <r>
    <d v="2024-02-22T00:00:00"/>
    <x v="3"/>
    <s v="Laptop"/>
    <s v="Grace"/>
    <n v="1"/>
    <n v="1902"/>
    <x v="2"/>
    <n v="1902"/>
    <n v="1488.3132435868731"/>
    <n v="413.68675641312689"/>
  </r>
  <r>
    <d v="2024-12-05T00:00:00"/>
    <x v="2"/>
    <s v="Smartwatch"/>
    <s v="Charlie"/>
    <n v="19"/>
    <n v="1922"/>
    <x v="0"/>
    <n v="36518"/>
    <n v="25567.5685084836"/>
    <n v="10950.4314915164"/>
  </r>
  <r>
    <d v="2024-04-01T00:00:00"/>
    <x v="1"/>
    <m/>
    <s v="Charlie"/>
    <n v="17"/>
    <n v="532"/>
    <x v="0"/>
    <n v="9044"/>
    <n v="7669.2661707890857"/>
    <n v="1374.7338292109141"/>
  </r>
  <r>
    <d v="2024-09-20T00:00:00"/>
    <x v="3"/>
    <s v="Tablet"/>
    <s v="Bob"/>
    <n v="5"/>
    <n v="1619"/>
    <x v="2"/>
    <n v="8095"/>
    <n v="5564.8015550302307"/>
    <n v="2530.1984449697688"/>
  </r>
  <r>
    <d v="2024-02-04T00:00:00"/>
    <x v="1"/>
    <s v="Printer"/>
    <s v="Bob"/>
    <n v="3"/>
    <n v="1098"/>
    <x v="1"/>
    <n v="3294"/>
    <n v="2139.2284828493262"/>
    <n v="1154.7715171506741"/>
  </r>
  <r>
    <d v="2024-07-24T00:00:00"/>
    <x v="2"/>
    <s v="Camera"/>
    <s v="Eva"/>
    <n v="2"/>
    <n v="199"/>
    <x v="2"/>
    <n v="398"/>
    <n v="323.1308843962575"/>
    <n v="74.8691156037425"/>
  </r>
  <r>
    <d v="2024-03-21T00:00:00"/>
    <x v="1"/>
    <s v="Headphones"/>
    <s v="Charlie"/>
    <n v="3"/>
    <n v="1089"/>
    <x v="0"/>
    <n v="3267"/>
    <n v="2586.440445830026"/>
    <n v="680.55955416997404"/>
  </r>
  <r>
    <d v="2024-02-19T00:00:00"/>
    <x v="3"/>
    <s v="Laptop"/>
    <s v="Alice"/>
    <n v="8"/>
    <n v="698"/>
    <x v="2"/>
    <n v="5584"/>
    <n v="4822.8152016278063"/>
    <n v="761.18479837219365"/>
  </r>
  <r>
    <d v="2024-12-25T00:00:00"/>
    <x v="0"/>
    <s v="Smartwatch"/>
    <s v="David"/>
    <n v="16"/>
    <n v="502"/>
    <x v="0"/>
    <n v="8032"/>
    <n v="7137.0538964335556"/>
    <n v="894.94610356644353"/>
  </r>
  <r>
    <d v="2024-01-02T00:00:00"/>
    <x v="1"/>
    <s v="Monitor"/>
    <s v="Hannah"/>
    <n v="6"/>
    <n v="495"/>
    <x v="1"/>
    <n v="2970"/>
    <n v="2545.7630502170782"/>
    <n v="424.23694978292218"/>
  </r>
  <r>
    <d v="2024-02-23T00:00:00"/>
    <x v="1"/>
    <s v="Monitor"/>
    <s v="Charlie"/>
    <n v="13"/>
    <n v="1650"/>
    <x v="1"/>
    <n v="21450"/>
    <n v="13256.24026748052"/>
    <n v="8193.7597325194783"/>
  </r>
  <r>
    <d v="2024-04-15T00:00:00"/>
    <x v="3"/>
    <s v="Camera"/>
    <s v="Grace"/>
    <n v="16"/>
    <n v="514"/>
    <x v="2"/>
    <n v="8224"/>
    <n v="6573.8875418538519"/>
    <n v="1650.1124581461479"/>
  </r>
  <r>
    <d v="2024-09-16T00:00:00"/>
    <x v="3"/>
    <s v="Headphones"/>
    <s v="Hannah"/>
    <n v="16"/>
    <n v="1038"/>
    <x v="0"/>
    <n v="16608"/>
    <n v="13874.65077385382"/>
    <n v="2733.3492261461802"/>
  </r>
  <r>
    <d v="2024-11-05T00:00:00"/>
    <x v="1"/>
    <s v="Smartwatch"/>
    <s v="Charlie"/>
    <n v="3"/>
    <n v="1736"/>
    <x v="0"/>
    <n v="5208"/>
    <n v="4658.9654389247162"/>
    <n v="549.03456107528382"/>
  </r>
  <r>
    <d v="2024-07-09T00:00:00"/>
    <x v="2"/>
    <s v="Smartwatch"/>
    <s v="Frank"/>
    <n v="13"/>
    <n v="776"/>
    <x v="0"/>
    <n v="10088"/>
    <n v="7186.674956845035"/>
    <n v="2901.325043154965"/>
  </r>
  <r>
    <d v="2024-08-05T00:00:00"/>
    <x v="1"/>
    <s v="Laptop"/>
    <s v="Bob"/>
    <n v="14"/>
    <n v="562"/>
    <x v="2"/>
    <n v="7868"/>
    <n v="5121.7884985948176"/>
    <n v="2746.2115014051819"/>
  </r>
  <r>
    <d v="2024-02-13T00:00:00"/>
    <x v="3"/>
    <s v="Laptop"/>
    <s v="Grace"/>
    <n v="8"/>
    <n v="640"/>
    <x v="2"/>
    <n v="5120"/>
    <n v="4382.1051829205317"/>
    <n v="737.89481707946834"/>
  </r>
  <r>
    <d v="2024-06-10T00:00:00"/>
    <x v="0"/>
    <s v="Smartwatch"/>
    <s v="David"/>
    <n v="12"/>
    <n v="1749"/>
    <x v="0"/>
    <n v="20988"/>
    <n v="14591.69760460802"/>
    <n v="6396.3023953919783"/>
  </r>
  <r>
    <d v="2024-07-20T00:00:00"/>
    <x v="0"/>
    <s v="Mobile"/>
    <s v="Eva"/>
    <n v="8"/>
    <n v="1742"/>
    <x v="2"/>
    <n v="13936"/>
    <n v="10862.56248593497"/>
    <n v="3073.4375140650341"/>
  </r>
  <r>
    <d v="2024-09-26T00:00:00"/>
    <x v="2"/>
    <s v="Smartwatch"/>
    <s v="Grace"/>
    <n v="9"/>
    <n v="1487"/>
    <x v="0"/>
    <n v="13383"/>
    <n v="9595.1884888387722"/>
    <n v="3787.8115111612278"/>
  </r>
  <r>
    <d v="2024-12-16T00:00:00"/>
    <x v="1"/>
    <s v="Camera"/>
    <s v="Charlie"/>
    <n v="1"/>
    <n v="1253"/>
    <x v="2"/>
    <n v="1253"/>
    <n v="903.03443991558072"/>
    <n v="349.96556008441928"/>
  </r>
  <r>
    <d v="2024-10-30T00:00:00"/>
    <x v="0"/>
    <s v="Smartwatch"/>
    <s v="Eva"/>
    <n v="6"/>
    <n v="183"/>
    <x v="0"/>
    <n v="1098"/>
    <n v="900.07379944105253"/>
    <n v="197.9262005589475"/>
  </r>
  <r>
    <d v="2024-09-27T00:00:00"/>
    <x v="1"/>
    <s v="Tablet"/>
    <s v="Charlie"/>
    <n v="19"/>
    <n v="370"/>
    <x v="2"/>
    <n v="7030"/>
    <n v="4980.351039341931"/>
    <n v="2049.648960658069"/>
  </r>
  <r>
    <d v="2024-08-02T00:00:00"/>
    <x v="3"/>
    <s v="Printer"/>
    <s v="Eva"/>
    <n v="11"/>
    <n v="343"/>
    <x v="1"/>
    <n v="3773"/>
    <n v="3048.2917203712941"/>
    <n v="724.7082796287059"/>
  </r>
  <r>
    <d v="2024-09-08T00:00:00"/>
    <x v="0"/>
    <s v="Tablet"/>
    <s v="David"/>
    <n v="11"/>
    <n v="487"/>
    <x v="2"/>
    <n v="5357"/>
    <n v="3237.227260757395"/>
    <n v="2119.772739242605"/>
  </r>
  <r>
    <d v="2024-07-08T00:00:00"/>
    <x v="2"/>
    <s v="Tablet"/>
    <s v="Bob"/>
    <n v="13"/>
    <n v="313"/>
    <x v="2"/>
    <n v="4069"/>
    <n v="2837.6970689777309"/>
    <n v="1231.3029310222689"/>
  </r>
  <r>
    <d v="2024-10-22T00:00:00"/>
    <x v="3"/>
    <s v="Mobile"/>
    <s v="David"/>
    <n v="11"/>
    <n v="917"/>
    <x v="2"/>
    <n v="10087"/>
    <n v="7017.6591432793184"/>
    <n v="3069.340856720682"/>
  </r>
  <r>
    <d v="2024-07-31T00:00:00"/>
    <x v="2"/>
    <s v="Mobile"/>
    <s v="Frank"/>
    <n v="18"/>
    <n v="1289"/>
    <x v="2"/>
    <n v="23202"/>
    <n v="19133.54289101269"/>
    <n v="4068.4571089873102"/>
  </r>
  <r>
    <d v="2024-07-26T00:00:00"/>
    <x v="3"/>
    <s v="Monitor"/>
    <s v="Alice"/>
    <n v="15"/>
    <n v="1914"/>
    <x v="1"/>
    <n v="28710"/>
    <n v="19935.28044032873"/>
    <n v="8774.71955967127"/>
  </r>
  <r>
    <d v="2024-08-24T00:00:00"/>
    <x v="0"/>
    <s v="Smartwatch"/>
    <s v="Bob"/>
    <n v="1"/>
    <n v="158"/>
    <x v="0"/>
    <n v="158"/>
    <n v="124.8197060741049"/>
    <n v="33.180293925895057"/>
  </r>
  <r>
    <d v="2024-12-03T00:00:00"/>
    <x v="2"/>
    <s v="Tablet"/>
    <s v="David"/>
    <n v="7"/>
    <n v="1725"/>
    <x v="2"/>
    <n v="12075"/>
    <n v="9739.1796466357409"/>
    <n v="2335.8203533642591"/>
  </r>
  <r>
    <d v="2024-02-22T00:00:00"/>
    <x v="2"/>
    <s v="Mobile"/>
    <s v="Frank"/>
    <n v="13"/>
    <n v="982"/>
    <x v="2"/>
    <n v="12766"/>
    <n v="10181.238149166111"/>
    <n v="2584.7618508338869"/>
  </r>
  <r>
    <d v="2024-10-06T00:00:00"/>
    <x v="3"/>
    <s v="Laptop"/>
    <s v="Alice"/>
    <n v="12"/>
    <n v="942"/>
    <x v="2"/>
    <n v="11304"/>
    <n v="8828.2895311722314"/>
    <n v="2475.7104688277691"/>
  </r>
  <r>
    <d v="2024-08-04T00:00:00"/>
    <x v="2"/>
    <s v="Smartwatch"/>
    <s v="Frank"/>
    <n v="18"/>
    <n v="1023"/>
    <x v="0"/>
    <n v="18414"/>
    <n v="13333.302199175931"/>
    <n v="5080.6978008240731"/>
  </r>
  <r>
    <d v="2024-09-08T00:00:00"/>
    <x v="3"/>
    <s v="Camera"/>
    <s v="Charlie"/>
    <n v="19"/>
    <n v="1627"/>
    <x v="2"/>
    <n v="30913"/>
    <n v="22009.793032541889"/>
    <n v="8903.2069674581107"/>
  </r>
  <r>
    <d v="2024-07-06T00:00:00"/>
    <x v="3"/>
    <s v="Printer"/>
    <s v="Hannah"/>
    <n v="15"/>
    <n v="1829"/>
    <x v="1"/>
    <n v="27435"/>
    <n v="21107.809092462761"/>
    <n v="6327.1909075372387"/>
  </r>
  <r>
    <d v="2024-02-10T00:00:00"/>
    <x v="3"/>
    <s v="Headphones"/>
    <s v="Charlie"/>
    <n v="8"/>
    <n v="222"/>
    <x v="0"/>
    <n v="1776"/>
    <n v="1099.5410130036489"/>
    <n v="676.45898699635086"/>
  </r>
  <r>
    <d v="2024-06-05T00:00:00"/>
    <x v="3"/>
    <s v="Smartwatch"/>
    <s v="Eva"/>
    <n v="19"/>
    <n v="1771"/>
    <x v="0"/>
    <n v="33649"/>
    <n v="29030.538559557539"/>
    <n v="4618.461440442461"/>
  </r>
  <r>
    <d v="2024-01-15T00:00:00"/>
    <x v="0"/>
    <s v="Headphones"/>
    <s v="Bob"/>
    <n v="10"/>
    <n v="1536"/>
    <x v="0"/>
    <n v="15360"/>
    <n v="13019.052179083819"/>
    <n v="2340.9478209161789"/>
  </r>
  <r>
    <d v="2024-10-27T00:00:00"/>
    <x v="3"/>
    <s v="Tablet"/>
    <s v="Charlie"/>
    <n v="7"/>
    <n v="1262"/>
    <x v="2"/>
    <n v="8834"/>
    <n v="6218.38877709196"/>
    <n v="2615.61122290804"/>
  </r>
  <r>
    <d v="2024-03-05T00:00:00"/>
    <x v="1"/>
    <s v="Printer"/>
    <s v="Grace"/>
    <n v="18"/>
    <n v="1352"/>
    <x v="1"/>
    <n v="24336"/>
    <n v="18739.83305601382"/>
    <n v="5596.1669439861826"/>
  </r>
  <r>
    <d v="2024-12-10T00:00:00"/>
    <x v="2"/>
    <s v="Headphones"/>
    <s v="Frank"/>
    <n v="16"/>
    <n v="1397"/>
    <x v="0"/>
    <n v="22352"/>
    <n v="19662.346052945741"/>
    <n v="2689.653947054263"/>
  </r>
  <r>
    <d v="2024-11-22T00:00:00"/>
    <x v="1"/>
    <s v="Tablet"/>
    <s v="Bob"/>
    <n v="6"/>
    <n v="538"/>
    <x v="2"/>
    <n v="3228"/>
    <n v="2199.853074613874"/>
    <n v="1028.146925386126"/>
  </r>
  <r>
    <d v="2024-01-09T00:00:00"/>
    <x v="0"/>
    <s v="Laptop"/>
    <s v="Hannah"/>
    <n v="9"/>
    <n v="1121"/>
    <x v="2"/>
    <n v="10089"/>
    <n v="8300.5893587320134"/>
    <n v="1788.4106412679871"/>
  </r>
  <r>
    <d v="2024-12-09T00:00:00"/>
    <x v="1"/>
    <s v="Headphones"/>
    <s v="Grace"/>
    <n v="13"/>
    <n v="661"/>
    <x v="0"/>
    <n v="8593"/>
    <n v="5369.0743260928193"/>
    <n v="3223.9256739071811"/>
  </r>
  <r>
    <d v="2024-05-08T00:00:00"/>
    <x v="2"/>
    <s v="Printer"/>
    <s v="Charlie"/>
    <n v="8"/>
    <n v="217"/>
    <x v="1"/>
    <n v="1736"/>
    <n v="1314.172214402882"/>
    <n v="421.82778559711818"/>
  </r>
  <r>
    <d v="2024-05-15T00:00:00"/>
    <x v="1"/>
    <s v="Monitor"/>
    <m/>
    <n v="16"/>
    <n v="1837"/>
    <x v="1"/>
    <n v="29392"/>
    <n v="25429.686195814491"/>
    <n v="3962.3138041855091"/>
  </r>
  <r>
    <d v="2024-03-03T00:00:00"/>
    <x v="0"/>
    <s v="Smartwatch"/>
    <s v="David"/>
    <n v="13"/>
    <n v="1004"/>
    <x v="0"/>
    <n v="13052"/>
    <n v="9991.4728730141123"/>
    <n v="3060.5271269858881"/>
  </r>
  <r>
    <d v="2024-05-18T00:00:00"/>
    <x v="3"/>
    <s v="Tablet"/>
    <s v="Eva"/>
    <n v="13"/>
    <n v="1606"/>
    <x v="2"/>
    <n v="20878"/>
    <n v="16386.637955611499"/>
    <n v="4491.3620443884975"/>
  </r>
  <r>
    <d v="2024-03-21T00:00:00"/>
    <x v="1"/>
    <s v="Smartwatch"/>
    <s v="Grace"/>
    <n v="17"/>
    <n v="494"/>
    <x v="0"/>
    <n v="8398"/>
    <n v="7325.5064355640652"/>
    <n v="1072.493564435935"/>
  </r>
  <r>
    <d v="2024-06-11T00:00:00"/>
    <x v="0"/>
    <s v="Printer"/>
    <s v="Alice"/>
    <n v="5"/>
    <n v="1826"/>
    <x v="1"/>
    <n v="9130"/>
    <n v="7437.3727930964096"/>
    <n v="1692.6272069035899"/>
  </r>
  <r>
    <d v="2024-10-15T00:00:00"/>
    <x v="0"/>
    <s v="Mobile"/>
    <s v="Charlie"/>
    <n v="17"/>
    <n v="975"/>
    <x v="2"/>
    <n v="16575"/>
    <n v="13405.21198491516"/>
    <n v="3169.78801508484"/>
  </r>
  <r>
    <d v="2024-09-17T00:00:00"/>
    <x v="2"/>
    <s v="Tablet"/>
    <s v="Grace"/>
    <n v="9"/>
    <n v="1583"/>
    <x v="2"/>
    <n v="14247"/>
    <n v="11054.463948827261"/>
    <n v="3192.5360511727431"/>
  </r>
  <r>
    <d v="2024-08-18T00:00:00"/>
    <x v="2"/>
    <s v="Headphones"/>
    <s v="Alice"/>
    <n v="2"/>
    <n v="1958"/>
    <x v="0"/>
    <n v="3916"/>
    <n v="3093.2350239532529"/>
    <n v="822.76497604674705"/>
  </r>
  <r>
    <d v="2024-02-10T00:00:00"/>
    <x v="1"/>
    <s v="Tablet"/>
    <s v="Alice"/>
    <n v="18"/>
    <n v="1816"/>
    <x v="2"/>
    <n v="32688"/>
    <n v="27494.256870076559"/>
    <n v="5193.7431299234413"/>
  </r>
  <r>
    <d v="2024-01-28T00:00:00"/>
    <x v="3"/>
    <s v="Smartwatch"/>
    <s v="Frank"/>
    <n v="9"/>
    <n v="1034"/>
    <x v="0"/>
    <n v="9306"/>
    <n v="8317.4229219492463"/>
    <n v="988.5770780507537"/>
  </r>
  <r>
    <d v="2024-05-14T00:00:00"/>
    <x v="0"/>
    <s v="Laptop"/>
    <s v="Bob"/>
    <n v="6"/>
    <n v="1201"/>
    <x v="2"/>
    <n v="7206"/>
    <n v="6042.9343502948996"/>
    <n v="1163.0656497051"/>
  </r>
  <r>
    <d v="2024-07-19T00:00:00"/>
    <x v="1"/>
    <s v="Tablet"/>
    <s v="Frank"/>
    <n v="11"/>
    <n v="1051"/>
    <x v="2"/>
    <n v="11561"/>
    <n v="9390.54999313191"/>
    <n v="2170.45000686809"/>
  </r>
  <r>
    <d v="2024-11-23T00:00:00"/>
    <x v="0"/>
    <s v="Headphones"/>
    <s v="Charlie"/>
    <n v="6"/>
    <n v="1535"/>
    <x v="0"/>
    <n v="9210"/>
    <n v="5900.5105134186151"/>
    <n v="3309.4894865813849"/>
  </r>
  <r>
    <d v="2024-09-24T00:00:00"/>
    <x v="0"/>
    <s v="Mobile"/>
    <s v="Alice"/>
    <n v="6"/>
    <n v="174"/>
    <x v="2"/>
    <n v="1044"/>
    <n v="882.30957734673825"/>
    <n v="161.69042265326169"/>
  </r>
  <r>
    <d v="2024-02-02T00:00:00"/>
    <x v="3"/>
    <s v="Monitor"/>
    <s v="Hannah"/>
    <n v="13"/>
    <n v="394"/>
    <x v="1"/>
    <n v="5122"/>
    <n v="4204.1289449448468"/>
    <n v="917.87105505515319"/>
  </r>
  <r>
    <d v="2024-02-17T00:00:00"/>
    <x v="3"/>
    <s v="Camera"/>
    <s v="Grace"/>
    <n v="11"/>
    <n v="1916"/>
    <x v="2"/>
    <n v="21076"/>
    <n v="17516.888685082919"/>
    <n v="3559.1113149170778"/>
  </r>
  <r>
    <d v="2024-03-02T00:00:00"/>
    <x v="1"/>
    <s v="Laptop"/>
    <s v="David"/>
    <n v="14"/>
    <n v="120"/>
    <x v="2"/>
    <n v="1680"/>
    <n v="1124.4726250346289"/>
    <n v="555.52737496537088"/>
  </r>
  <r>
    <d v="2024-08-03T00:00:00"/>
    <x v="3"/>
    <s v="Monitor"/>
    <s v="Alice"/>
    <n v="2"/>
    <n v="1294"/>
    <x v="1"/>
    <n v="2588"/>
    <n v="2254.2336859943762"/>
    <n v="333.76631400562383"/>
  </r>
  <r>
    <d v="2024-10-19T00:00:00"/>
    <x v="3"/>
    <m/>
    <s v="Grace"/>
    <n v="8"/>
    <n v="1138"/>
    <x v="2"/>
    <n v="9104"/>
    <n v="5728.0948732289498"/>
    <n v="3375.9051267710502"/>
  </r>
  <r>
    <d v="2024-04-08T00:00:00"/>
    <x v="1"/>
    <s v="Tablet"/>
    <s v="Hannah"/>
    <m/>
    <n v="1334"/>
    <x v="2"/>
    <m/>
    <m/>
    <m/>
  </r>
  <r>
    <d v="2024-06-20T00:00:00"/>
    <x v="3"/>
    <s v="Smartwatch"/>
    <s v="David"/>
    <n v="3"/>
    <n v="659"/>
    <x v="0"/>
    <n v="1977"/>
    <n v="1579.4392012702031"/>
    <n v="397.56079872979723"/>
  </r>
  <r>
    <d v="2024-12-25T00:00:00"/>
    <x v="2"/>
    <s v="Printer"/>
    <s v="Frank"/>
    <n v="1"/>
    <n v="1209"/>
    <x v="1"/>
    <n v="1209"/>
    <n v="969.75623603150916"/>
    <n v="239.24376396849081"/>
  </r>
  <r>
    <d v="2024-08-01T00:00:00"/>
    <x v="0"/>
    <s v="Smartwatch"/>
    <s v="Frank"/>
    <n v="19"/>
    <n v="1272"/>
    <x v="0"/>
    <n v="24168"/>
    <n v="16772.528435507498"/>
    <n v="7395.4715644925018"/>
  </r>
  <r>
    <d v="2024-02-04T00:00:00"/>
    <x v="0"/>
    <m/>
    <s v="Bob"/>
    <n v="18"/>
    <n v="1823"/>
    <x v="1"/>
    <n v="32814"/>
    <n v="26594.300989844131"/>
    <n v="6219.6990101558731"/>
  </r>
  <r>
    <d v="2024-08-14T00:00:00"/>
    <x v="0"/>
    <s v="Headphones"/>
    <s v="Grace"/>
    <n v="17"/>
    <n v="471"/>
    <x v="0"/>
    <n v="8007"/>
    <n v="5736.0479445007686"/>
    <n v="2270.9520554992309"/>
  </r>
  <r>
    <d v="2024-04-10T00:00:00"/>
    <x v="0"/>
    <s v="Smartwatch"/>
    <s v="Alice"/>
    <n v="13"/>
    <n v="1603"/>
    <x v="0"/>
    <n v="20839"/>
    <n v="12504.497272488979"/>
    <n v="8334.5027275110206"/>
  </r>
  <r>
    <d v="2024-05-10T00:00:00"/>
    <x v="1"/>
    <s v="Laptop"/>
    <s v="Eva"/>
    <n v="3"/>
    <m/>
    <x v="2"/>
    <m/>
    <m/>
    <m/>
  </r>
  <r>
    <d v="2024-09-13T00:00:00"/>
    <x v="0"/>
    <s v="Smartwatch"/>
    <s v="Frank"/>
    <n v="1"/>
    <n v="1274"/>
    <x v="0"/>
    <n v="1274"/>
    <n v="1101.7367047883861"/>
    <n v="172.26329521161369"/>
  </r>
  <r>
    <d v="2024-01-05T00:00:00"/>
    <x v="0"/>
    <s v="Headphones"/>
    <s v="Frank"/>
    <n v="4"/>
    <n v="1264"/>
    <x v="0"/>
    <n v="5056"/>
    <n v="3371.3822769911831"/>
    <n v="1684.6177230088169"/>
  </r>
  <r>
    <d v="2024-08-05T00:00:00"/>
    <x v="0"/>
    <s v="Camera"/>
    <s v="Bob"/>
    <n v="13"/>
    <n v="1192"/>
    <x v="2"/>
    <n v="15496"/>
    <n v="9822.4975832871423"/>
    <n v="5673.5024167128577"/>
  </r>
  <r>
    <d v="2024-09-11T00:00:00"/>
    <x v="0"/>
    <s v="Tablet"/>
    <s v="David"/>
    <n v="17"/>
    <n v="1383"/>
    <x v="2"/>
    <n v="23511"/>
    <n v="18918.365533828601"/>
    <n v="4592.6344661713993"/>
  </r>
  <r>
    <d v="2024-12-24T00:00:00"/>
    <x v="2"/>
    <s v="Printer"/>
    <s v="Bob"/>
    <n v="11"/>
    <n v="945"/>
    <x v="1"/>
    <n v="10395"/>
    <n v="7611.3430406547623"/>
    <n v="2783.6569593452382"/>
  </r>
  <r>
    <d v="2024-10-09T00:00:00"/>
    <x v="0"/>
    <s v="Monitor"/>
    <s v="Hannah"/>
    <n v="2"/>
    <n v="620"/>
    <x v="1"/>
    <n v="1240"/>
    <n v="1040.331828339924"/>
    <n v="199.6681716600763"/>
  </r>
  <r>
    <d v="2024-07-25T00:00:00"/>
    <x v="2"/>
    <s v="Tablet"/>
    <s v="Alice"/>
    <n v="16"/>
    <n v="1756"/>
    <x v="2"/>
    <n v="28096"/>
    <n v="24118.547064468119"/>
    <n v="3977.452935531885"/>
  </r>
  <r>
    <d v="2024-01-15T00:00:00"/>
    <x v="1"/>
    <s v="Smartwatch"/>
    <s v="Grace"/>
    <n v="2"/>
    <n v="470"/>
    <x v="0"/>
    <n v="940"/>
    <n v="802.56886342319933"/>
    <n v="137.4311365768007"/>
  </r>
  <r>
    <d v="2024-12-11T00:00:00"/>
    <x v="3"/>
    <s v="Mobile"/>
    <s v="Charlie"/>
    <n v="19"/>
    <n v="1542"/>
    <x v="2"/>
    <n v="29298"/>
    <n v="20329.963231209171"/>
    <n v="8968.0367687908256"/>
  </r>
  <r>
    <d v="2024-02-11T00:00:00"/>
    <x v="0"/>
    <s v="Tablet"/>
    <s v="Charlie"/>
    <n v="19"/>
    <n v="200"/>
    <x v="2"/>
    <n v="3800"/>
    <n v="2856.3223692837068"/>
    <n v="943.67763071629315"/>
  </r>
  <r>
    <d v="2024-06-27T00:00:00"/>
    <x v="3"/>
    <s v="Camera"/>
    <s v="Grace"/>
    <n v="16"/>
    <n v="760"/>
    <x v="2"/>
    <n v="12160"/>
    <n v="9667.7170479921242"/>
    <n v="2492.2829520078758"/>
  </r>
  <r>
    <d v="2024-03-03T00:00:00"/>
    <x v="3"/>
    <s v="Smartwatch"/>
    <s v="David"/>
    <n v="19"/>
    <n v="1781"/>
    <x v="0"/>
    <n v="33839"/>
    <n v="23572.075707182241"/>
    <n v="10266.924292817759"/>
  </r>
  <r>
    <d v="2024-12-17T00:00:00"/>
    <x v="4"/>
    <s v="Printer"/>
    <s v="Hannah"/>
    <n v="9"/>
    <n v="1988"/>
    <x v="1"/>
    <n v="17892"/>
    <n v="10955.80468508886"/>
    <n v="6936.1953149111396"/>
  </r>
  <r>
    <d v="2024-08-18T00:00:00"/>
    <x v="3"/>
    <s v="Headphones"/>
    <s v="Frank"/>
    <n v="1"/>
    <n v="1067"/>
    <x v="0"/>
    <n v="1067"/>
    <n v="798.86216877324375"/>
    <n v="268.13783122675619"/>
  </r>
  <r>
    <d v="2024-08-28T00:00:00"/>
    <x v="2"/>
    <s v="Camera"/>
    <s v="David"/>
    <n v="10"/>
    <n v="342"/>
    <x v="2"/>
    <n v="3420"/>
    <n v="2065.1516101356988"/>
    <n v="1354.848389864301"/>
  </r>
  <r>
    <d v="2024-02-21T00:00:00"/>
    <x v="3"/>
    <s v="Smartwatch"/>
    <s v="Frank"/>
    <n v="19"/>
    <n v="852"/>
    <x v="0"/>
    <n v="16188"/>
    <n v="14329.51541191909"/>
    <n v="1858.48458808091"/>
  </r>
  <r>
    <d v="2024-04-05T00:00:00"/>
    <x v="3"/>
    <s v="Camera"/>
    <m/>
    <n v="1"/>
    <n v="611"/>
    <x v="2"/>
    <n v="611"/>
    <n v="512.63211232518574"/>
    <n v="98.367887674814256"/>
  </r>
  <r>
    <d v="2024-08-09T00:00:00"/>
    <x v="3"/>
    <s v="Tablet"/>
    <s v="Charlie"/>
    <n v="2"/>
    <n v="948"/>
    <x v="2"/>
    <n v="1896"/>
    <n v="1246.815160886621"/>
    <n v="649.18483911337944"/>
  </r>
  <r>
    <d v="2024-08-18T00:00:00"/>
    <x v="0"/>
    <s v="Printer"/>
    <s v="David"/>
    <n v="16"/>
    <n v="654"/>
    <x v="1"/>
    <n v="10464"/>
    <n v="7181.1452341215409"/>
    <n v="3282.8547658784591"/>
  </r>
  <r>
    <d v="2024-08-24T00:00:00"/>
    <x v="0"/>
    <s v="Headphones"/>
    <s v="Hannah"/>
    <n v="12"/>
    <n v="1218"/>
    <x v="0"/>
    <n v="14616"/>
    <n v="13079.150465355629"/>
    <n v="1536.8495346443669"/>
  </r>
  <r>
    <d v="2024-05-22T00:00:00"/>
    <x v="2"/>
    <s v="Smartwatch"/>
    <s v="Bob"/>
    <m/>
    <n v="325"/>
    <x v="0"/>
    <m/>
    <m/>
    <m/>
  </r>
  <r>
    <d v="2024-06-19T00:00:00"/>
    <x v="2"/>
    <s v="Laptop"/>
    <s v="Frank"/>
    <n v="18"/>
    <n v="1641"/>
    <x v="2"/>
    <n v="29538"/>
    <n v="24667.67729816469"/>
    <n v="4870.3227018353064"/>
  </r>
  <r>
    <d v="2024-01-29T00:00:00"/>
    <x v="0"/>
    <s v="Monitor"/>
    <s v="Eva"/>
    <n v="2"/>
    <n v="313"/>
    <x v="1"/>
    <n v="626"/>
    <n v="459.51194496913598"/>
    <n v="166.48805503086399"/>
  </r>
  <r>
    <d v="2024-02-05T00:00:00"/>
    <x v="2"/>
    <s v="Headphones"/>
    <s v="Eva"/>
    <n v="13"/>
    <n v="817"/>
    <x v="0"/>
    <n v="10621"/>
    <n v="9125.8688429617741"/>
    <n v="1495.1311570382261"/>
  </r>
  <r>
    <d v="2024-01-13T00:00:00"/>
    <x v="0"/>
    <s v="Laptop"/>
    <s v="Bob"/>
    <n v="6"/>
    <n v="166"/>
    <x v="2"/>
    <n v="996"/>
    <n v="807.88154823865887"/>
    <n v="188.11845176134111"/>
  </r>
  <r>
    <d v="2024-06-08T00:00:00"/>
    <x v="1"/>
    <s v="Camera"/>
    <s v="Eva"/>
    <n v="6"/>
    <n v="495"/>
    <x v="2"/>
    <n v="2970"/>
    <n v="1802.412863363023"/>
    <n v="1167.587136636977"/>
  </r>
  <r>
    <d v="2024-11-22T00:00:00"/>
    <x v="3"/>
    <s v="Mobile"/>
    <s v="Alice"/>
    <m/>
    <n v="711"/>
    <x v="2"/>
    <m/>
    <m/>
    <m/>
  </r>
  <r>
    <d v="2024-07-05T00:00:00"/>
    <x v="3"/>
    <s v="Headphones"/>
    <s v="Frank"/>
    <n v="16"/>
    <n v="1135"/>
    <x v="0"/>
    <n v="18160"/>
    <n v="13935.94213153953"/>
    <n v="4224.0578684604716"/>
  </r>
  <r>
    <d v="2024-08-30T00:00:00"/>
    <x v="2"/>
    <s v="Camera"/>
    <s v="Bob"/>
    <n v="11"/>
    <n v="1360"/>
    <x v="2"/>
    <n v="14960"/>
    <n v="13132.669109785051"/>
    <n v="1827.3308902149461"/>
  </r>
  <r>
    <d v="2024-03-26T00:00:00"/>
    <x v="0"/>
    <s v="Laptop"/>
    <s v="David"/>
    <n v="7"/>
    <n v="1957"/>
    <x v="2"/>
    <n v="13699"/>
    <n v="8638.7122580081323"/>
    <n v="5060.2877419918677"/>
  </r>
  <r>
    <d v="2024-10-10T00:00:00"/>
    <x v="0"/>
    <s v="Tablet"/>
    <s v="Frank"/>
    <n v="10"/>
    <n v="869"/>
    <x v="2"/>
    <n v="8690"/>
    <n v="6781.2307358127518"/>
    <n v="1908.7692641872479"/>
  </r>
  <r>
    <d v="2024-03-06T00:00:00"/>
    <x v="2"/>
    <s v="Tablet"/>
    <s v="Bob"/>
    <n v="10"/>
    <n v="1522"/>
    <x v="2"/>
    <n v="15220"/>
    <n v="10511.73895563019"/>
    <n v="4708.2610443698068"/>
  </r>
  <r>
    <d v="2024-06-18T00:00:00"/>
    <x v="0"/>
    <s v="Mobile"/>
    <m/>
    <n v="18"/>
    <n v="506"/>
    <x v="2"/>
    <n v="9108"/>
    <n v="7894.7992315899191"/>
    <n v="1213.2007684100811"/>
  </r>
  <r>
    <d v="2024-02-14T00:00:00"/>
    <x v="1"/>
    <s v="Monitor"/>
    <s v="Hannah"/>
    <n v="9"/>
    <n v="1024"/>
    <x v="1"/>
    <n v="9216"/>
    <n v="7645.1409367838569"/>
    <n v="1570.8590632161431"/>
  </r>
  <r>
    <d v="2024-03-02T00:00:00"/>
    <x v="3"/>
    <s v="Headphones"/>
    <s v="David"/>
    <n v="15"/>
    <n v="1972"/>
    <x v="0"/>
    <n v="29580"/>
    <n v="21028.741955110399"/>
    <n v="8551.2580448896042"/>
  </r>
  <r>
    <d v="2024-05-13T00:00:00"/>
    <x v="2"/>
    <s v="Headphones"/>
    <s v="Hannah"/>
    <n v="4"/>
    <n v="1603"/>
    <x v="0"/>
    <n v="6412"/>
    <n v="4168.6396460946089"/>
    <n v="2243.3603539053911"/>
  </r>
  <r>
    <d v="2024-10-10T00:00:00"/>
    <x v="2"/>
    <s v="Headphones"/>
    <s v="Charlie"/>
    <n v="8"/>
    <n v="746"/>
    <x v="0"/>
    <n v="5968"/>
    <n v="3601.3859697801222"/>
    <n v="2366.6140302198778"/>
  </r>
  <r>
    <d v="2024-01-28T00:00:00"/>
    <x v="0"/>
    <s v="Monitor"/>
    <s v="Frank"/>
    <n v="9"/>
    <n v="321"/>
    <x v="1"/>
    <n v="2889"/>
    <n v="2271.7372283973782"/>
    <n v="617.2627716026218"/>
  </r>
  <r>
    <d v="2024-04-17T00:00:00"/>
    <x v="2"/>
    <s v="Camera"/>
    <s v="David"/>
    <n v="13"/>
    <n v="1279"/>
    <x v="2"/>
    <n v="16627"/>
    <n v="12001.98616484541"/>
    <n v="4625.0138351545938"/>
  </r>
  <r>
    <d v="2024-02-13T00:00:00"/>
    <x v="1"/>
    <s v="Printer"/>
    <s v="Hannah"/>
    <n v="9"/>
    <n v="753"/>
    <x v="1"/>
    <n v="6777"/>
    <n v="4706.1314256352298"/>
    <n v="2070.8685743647702"/>
  </r>
  <r>
    <d v="2024-12-05T00:00:00"/>
    <x v="0"/>
    <s v="Printer"/>
    <s v="Eva"/>
    <n v="4"/>
    <n v="527"/>
    <x v="1"/>
    <n v="2108"/>
    <n v="1888.0316492311349"/>
    <n v="219.96835076886509"/>
  </r>
  <r>
    <d v="2024-10-12T00:00:00"/>
    <x v="0"/>
    <s v="Mobile"/>
    <s v="Hannah"/>
    <n v="17"/>
    <n v="1281"/>
    <x v="2"/>
    <n v="21777"/>
    <n v="16111.5531858291"/>
    <n v="5665.446814170904"/>
  </r>
  <r>
    <d v="2024-11-26T00:00:00"/>
    <x v="0"/>
    <s v="Headphones"/>
    <s v="Bob"/>
    <n v="16"/>
    <n v="1076"/>
    <x v="0"/>
    <n v="17216"/>
    <n v="14202.36993217189"/>
    <n v="3013.6300678281132"/>
  </r>
  <r>
    <d v="2024-05-07T00:00:00"/>
    <x v="0"/>
    <s v="Camera"/>
    <s v="Frank"/>
    <n v="15"/>
    <n v="1539"/>
    <x v="2"/>
    <n v="23085"/>
    <n v="15079.669695673439"/>
    <n v="8005.3303043265641"/>
  </r>
  <r>
    <d v="2024-12-13T00:00:00"/>
    <x v="1"/>
    <s v="Tablet"/>
    <s v="Alice"/>
    <n v="3"/>
    <m/>
    <x v="2"/>
    <m/>
    <m/>
    <m/>
  </r>
  <r>
    <d v="2024-08-18T00:00:00"/>
    <x v="0"/>
    <s v="Laptop"/>
    <s v="Hannah"/>
    <n v="5"/>
    <n v="1449"/>
    <x v="2"/>
    <n v="7245"/>
    <n v="5254.572353370263"/>
    <n v="1990.427646629737"/>
  </r>
  <r>
    <d v="2024-07-08T00:00:00"/>
    <x v="2"/>
    <s v="Camera"/>
    <s v="David"/>
    <n v="5"/>
    <n v="470"/>
    <x v="2"/>
    <n v="2350"/>
    <n v="1879.2937086345769"/>
    <n v="470.70629136542328"/>
  </r>
  <r>
    <d v="2024-08-12T00:00:00"/>
    <x v="1"/>
    <s v="Monitor"/>
    <s v="David"/>
    <n v="15"/>
    <n v="1467"/>
    <x v="1"/>
    <n v="22005"/>
    <n v="16547.311292855109"/>
    <n v="5457.6887071448909"/>
  </r>
  <r>
    <d v="2024-10-09T00:00:00"/>
    <x v="3"/>
    <s v="Printer"/>
    <s v="Grace"/>
    <n v="18"/>
    <n v="1385"/>
    <x v="1"/>
    <n v="24930"/>
    <n v="21617.797140772818"/>
    <n v="3312.2028592271781"/>
  </r>
  <r>
    <d v="2024-04-30T00:00:00"/>
    <x v="3"/>
    <s v="Printer"/>
    <s v="Hannah"/>
    <n v="15"/>
    <n v="1406"/>
    <x v="1"/>
    <n v="21090"/>
    <n v="15399.78735496119"/>
    <n v="5690.2126450388096"/>
  </r>
  <r>
    <d v="2024-04-25T00:00:00"/>
    <x v="2"/>
    <s v="Tablet"/>
    <s v="Frank"/>
    <n v="2"/>
    <n v="949"/>
    <x v="2"/>
    <n v="1898"/>
    <n v="1315.8850018093699"/>
    <n v="582.11499819062988"/>
  </r>
  <r>
    <d v="2024-08-20T00:00:00"/>
    <x v="2"/>
    <s v="Tablet"/>
    <s v="Frank"/>
    <n v="13"/>
    <n v="955"/>
    <x v="2"/>
    <n v="12415"/>
    <n v="10860.82329453537"/>
    <n v="1554.1767054646321"/>
  </r>
  <r>
    <d v="2024-09-15T00:00:00"/>
    <x v="1"/>
    <s v="Monitor"/>
    <s v="Charlie"/>
    <n v="4"/>
    <n v="328"/>
    <x v="1"/>
    <n v="1312"/>
    <n v="947.31737687049235"/>
    <n v="364.68262312950759"/>
  </r>
  <r>
    <d v="2024-12-24T00:00:00"/>
    <x v="3"/>
    <s v="Laptop"/>
    <s v="Grace"/>
    <n v="10"/>
    <n v="379"/>
    <x v="2"/>
    <n v="3790"/>
    <n v="2580.5896186842378"/>
    <n v="1209.4103813157619"/>
  </r>
  <r>
    <d v="2024-07-16T00:00:00"/>
    <x v="3"/>
    <s v="Tablet"/>
    <s v="Hannah"/>
    <n v="13"/>
    <n v="1993"/>
    <x v="2"/>
    <n v="25909"/>
    <n v="16304.490251721711"/>
    <n v="9604.5097482782876"/>
  </r>
  <r>
    <d v="2024-05-16T00:00:00"/>
    <x v="3"/>
    <s v="Mobile"/>
    <s v="Eva"/>
    <m/>
    <n v="1413"/>
    <x v="2"/>
    <m/>
    <m/>
    <m/>
  </r>
  <r>
    <d v="2024-11-13T00:00:00"/>
    <x v="3"/>
    <s v="Laptop"/>
    <s v="Charlie"/>
    <n v="9"/>
    <n v="1803"/>
    <x v="2"/>
    <n v="16227"/>
    <n v="13752.82774030998"/>
    <n v="2474.1722596900199"/>
  </r>
  <r>
    <d v="2024-06-13T00:00:00"/>
    <x v="3"/>
    <s v="Tablet"/>
    <s v="Grace"/>
    <n v="8"/>
    <n v="1170"/>
    <x v="2"/>
    <n v="9360"/>
    <n v="5709.5001762510028"/>
    <n v="3650.4998237489972"/>
  </r>
  <r>
    <d v="2024-08-12T00:00:00"/>
    <x v="0"/>
    <s v="Smartwatch"/>
    <s v="Hannah"/>
    <n v="3"/>
    <n v="1074"/>
    <x v="0"/>
    <n v="3222"/>
    <n v="2279.866835414914"/>
    <n v="942.13316458508643"/>
  </r>
  <r>
    <d v="2024-11-02T00:00:00"/>
    <x v="2"/>
    <s v="Camera"/>
    <s v="Hannah"/>
    <n v="16"/>
    <n v="1838"/>
    <x v="2"/>
    <n v="29408"/>
    <n v="24260.51003304504"/>
    <n v="5147.4899669549604"/>
  </r>
  <r>
    <d v="2024-08-21T00:00:00"/>
    <x v="0"/>
    <s v="Tablet"/>
    <s v="Charlie"/>
    <n v="14"/>
    <n v="1337"/>
    <x v="2"/>
    <n v="18718"/>
    <n v="16545.11262638442"/>
    <n v="2172.8873736155801"/>
  </r>
  <r>
    <d v="2024-06-20T00:00:00"/>
    <x v="3"/>
    <s v="Mobile"/>
    <s v="Eva"/>
    <n v="9"/>
    <n v="857"/>
    <x v="2"/>
    <n v="7713"/>
    <n v="5502.0337269887259"/>
    <n v="2210.9662730112741"/>
  </r>
  <r>
    <d v="2024-05-31T00:00:00"/>
    <x v="1"/>
    <s v="Headphones"/>
    <s v="Grace"/>
    <n v="11"/>
    <n v="1147"/>
    <x v="0"/>
    <n v="12617"/>
    <n v="10871.009443114521"/>
    <n v="1745.990556885479"/>
  </r>
  <r>
    <d v="2024-11-10T00:00:00"/>
    <x v="1"/>
    <s v="Tablet"/>
    <s v="Hannah"/>
    <n v="3"/>
    <n v="420"/>
    <x v="2"/>
    <n v="1260"/>
    <n v="904.82631366916985"/>
    <n v="355.17368633083021"/>
  </r>
  <r>
    <d v="2024-06-08T00:00:00"/>
    <x v="3"/>
    <s v="Printer"/>
    <s v="Hannah"/>
    <n v="5"/>
    <n v="373"/>
    <x v="1"/>
    <n v="1865"/>
    <n v="1219.4272439422621"/>
    <n v="645.57275605773839"/>
  </r>
  <r>
    <d v="2024-04-05T00:00:00"/>
    <x v="3"/>
    <s v="Printer"/>
    <m/>
    <n v="10"/>
    <n v="655"/>
    <x v="1"/>
    <n v="6550"/>
    <n v="3936.7716725215491"/>
    <n v="2613.2283274784509"/>
  </r>
  <r>
    <d v="2024-08-20T00:00:00"/>
    <x v="1"/>
    <s v="Printer"/>
    <s v="Alice"/>
    <n v="13"/>
    <n v="943"/>
    <x v="1"/>
    <n v="12259"/>
    <n v="8569.7067488493449"/>
    <n v="3689.2932511506551"/>
  </r>
  <r>
    <d v="2024-06-28T00:00:00"/>
    <x v="0"/>
    <s v="Headphones"/>
    <s v="Charlie"/>
    <n v="4"/>
    <n v="1436"/>
    <x v="0"/>
    <n v="5744"/>
    <n v="4098.5882074134061"/>
    <n v="1645.4117925865939"/>
  </r>
  <r>
    <d v="2024-04-22T00:00:00"/>
    <x v="0"/>
    <s v="Printer"/>
    <s v="Charlie"/>
    <n v="13"/>
    <n v="1486"/>
    <x v="1"/>
    <n v="19318"/>
    <n v="17068.134126913668"/>
    <n v="2249.8658730863322"/>
  </r>
  <r>
    <d v="2024-11-13T00:00:00"/>
    <x v="3"/>
    <s v="Smartwatch"/>
    <s v="David"/>
    <n v="12"/>
    <n v="767"/>
    <x v="0"/>
    <n v="9204"/>
    <n v="6091.4011809838239"/>
    <n v="3112.5988190161761"/>
  </r>
  <r>
    <d v="2024-02-21T00:00:00"/>
    <x v="0"/>
    <s v="Tablet"/>
    <m/>
    <n v="5"/>
    <n v="1099"/>
    <x v="2"/>
    <n v="5495"/>
    <n v="3927.1073221668562"/>
    <n v="1567.892677833144"/>
  </r>
  <r>
    <d v="2024-09-24T00:00:00"/>
    <x v="1"/>
    <s v="Monitor"/>
    <s v="Bob"/>
    <n v="10"/>
    <n v="479"/>
    <x v="1"/>
    <n v="4790"/>
    <n v="2910.146484555813"/>
    <n v="1879.853515444187"/>
  </r>
  <r>
    <d v="2024-10-21T00:00:00"/>
    <x v="0"/>
    <s v="Printer"/>
    <s v="Alice"/>
    <n v="9"/>
    <m/>
    <x v="1"/>
    <m/>
    <m/>
    <m/>
  </r>
  <r>
    <d v="2024-04-22T00:00:00"/>
    <x v="3"/>
    <s v="Laptop"/>
    <s v="Grace"/>
    <n v="7"/>
    <n v="1797"/>
    <x v="2"/>
    <n v="12579"/>
    <n v="11000.868483255441"/>
    <n v="1578.1315167445571"/>
  </r>
  <r>
    <d v="2024-04-10T00:00:00"/>
    <x v="1"/>
    <s v="Monitor"/>
    <s v="Grace"/>
    <n v="2"/>
    <n v="1593"/>
    <x v="1"/>
    <n v="3186"/>
    <n v="2138.908974666871"/>
    <n v="1047.091025333129"/>
  </r>
  <r>
    <d v="2024-04-22T00:00:00"/>
    <x v="0"/>
    <s v="Headphones"/>
    <s v="Grace"/>
    <n v="7"/>
    <n v="845"/>
    <x v="0"/>
    <n v="5915"/>
    <n v="4310.2518238309722"/>
    <n v="1604.7481761690281"/>
  </r>
  <r>
    <d v="2024-03-21T00:00:00"/>
    <x v="4"/>
    <s v="Smartwatch"/>
    <s v="Alice"/>
    <n v="8"/>
    <n v="774"/>
    <x v="0"/>
    <n v="6192"/>
    <n v="3942.0364054494698"/>
    <n v="2249.9635945505302"/>
  </r>
  <r>
    <d v="2024-07-05T00:00:00"/>
    <x v="1"/>
    <s v="Laptop"/>
    <s v="Hannah"/>
    <n v="7"/>
    <n v="215"/>
    <x v="2"/>
    <n v="1505"/>
    <n v="1109.2611967862699"/>
    <n v="395.73880321372991"/>
  </r>
  <r>
    <d v="2024-04-22T00:00:00"/>
    <x v="1"/>
    <s v="Laptop"/>
    <s v="Grace"/>
    <n v="14"/>
    <n v="704"/>
    <x v="2"/>
    <n v="9856"/>
    <n v="6307.8669965028612"/>
    <n v="3548.1330034971388"/>
  </r>
  <r>
    <d v="2024-01-02T00:00:00"/>
    <x v="2"/>
    <s v="Laptop"/>
    <s v="Grace"/>
    <n v="19"/>
    <m/>
    <x v="2"/>
    <m/>
    <m/>
    <m/>
  </r>
  <r>
    <d v="2024-05-09T00:00:00"/>
    <x v="2"/>
    <s v="Laptop"/>
    <s v="Eva"/>
    <n v="5"/>
    <n v="1919"/>
    <x v="2"/>
    <n v="9595"/>
    <n v="7871.6095433841829"/>
    <n v="1723.3904566158169"/>
  </r>
  <r>
    <d v="2024-08-07T00:00:00"/>
    <x v="1"/>
    <s v="Monitor"/>
    <s v="Frank"/>
    <n v="18"/>
    <n v="478"/>
    <x v="1"/>
    <n v="8604"/>
    <n v="6590.6883703503308"/>
    <n v="2013.3116296496689"/>
  </r>
  <r>
    <d v="2024-02-23T00:00:00"/>
    <x v="2"/>
    <s v="Monitor"/>
    <s v="Frank"/>
    <n v="12"/>
    <n v="1845"/>
    <x v="1"/>
    <n v="22140"/>
    <n v="14912.748439648951"/>
    <n v="7227.2515603510492"/>
  </r>
  <r>
    <d v="2024-12-08T00:00:00"/>
    <x v="3"/>
    <s v="Tablet"/>
    <s v="David"/>
    <n v="17"/>
    <n v="1329"/>
    <x v="2"/>
    <n v="22593"/>
    <n v="15953.79380990969"/>
    <n v="6639.2061900903082"/>
  </r>
  <r>
    <d v="2024-08-11T00:00:00"/>
    <x v="4"/>
    <s v="Printer"/>
    <s v="David"/>
    <n v="13"/>
    <n v="565"/>
    <x v="1"/>
    <n v="7345"/>
    <n v="5814.0950275343603"/>
    <n v="1530.90497246564"/>
  </r>
  <r>
    <d v="2024-08-12T00:00:00"/>
    <x v="3"/>
    <s v="Camera"/>
    <s v="Grace"/>
    <n v="2"/>
    <n v="1855"/>
    <x v="2"/>
    <n v="3710"/>
    <n v="2882.3977799995191"/>
    <n v="827.60222000048088"/>
  </r>
  <r>
    <d v="2024-05-05T00:00:00"/>
    <x v="1"/>
    <s v="Tablet"/>
    <s v="Eva"/>
    <n v="13"/>
    <n v="379"/>
    <x v="2"/>
    <n v="4927"/>
    <n v="3158.366814322143"/>
    <n v="1768.633185677857"/>
  </r>
  <r>
    <d v="2024-05-09T00:00:00"/>
    <x v="2"/>
    <s v="Tablet"/>
    <s v="Grace"/>
    <n v="7"/>
    <n v="1771"/>
    <x v="2"/>
    <n v="12397"/>
    <n v="10580.65158713969"/>
    <n v="1816.348412860307"/>
  </r>
  <r>
    <d v="2024-02-22T00:00:00"/>
    <x v="2"/>
    <s v="Smartwatch"/>
    <s v="David"/>
    <n v="10"/>
    <n v="717"/>
    <x v="0"/>
    <n v="7170"/>
    <n v="5324.1313502433304"/>
    <n v="1845.86864975667"/>
  </r>
  <r>
    <d v="2024-06-20T00:00:00"/>
    <x v="0"/>
    <s v="Smartwatch"/>
    <s v="Alice"/>
    <n v="6"/>
    <n v="217"/>
    <x v="0"/>
    <n v="1302"/>
    <n v="844.62141910000912"/>
    <n v="457.37858089999088"/>
  </r>
  <r>
    <d v="2024-08-05T00:00:00"/>
    <x v="0"/>
    <s v="Printer"/>
    <s v="Alice"/>
    <n v="3"/>
    <n v="1360"/>
    <x v="1"/>
    <n v="4080"/>
    <n v="2598.3396881114691"/>
    <n v="1481.6603118885309"/>
  </r>
  <r>
    <d v="2024-06-08T00:00:00"/>
    <x v="2"/>
    <s v="Camera"/>
    <s v="Hannah"/>
    <n v="3"/>
    <n v="408"/>
    <x v="2"/>
    <n v="1224"/>
    <n v="1088.9506116496921"/>
    <n v="135.04938835030819"/>
  </r>
  <r>
    <d v="2024-07-16T00:00:00"/>
    <x v="2"/>
    <s v="Smartwatch"/>
    <s v="Bob"/>
    <n v="18"/>
    <n v="1579"/>
    <x v="0"/>
    <n v="28422"/>
    <n v="19453.73727893236"/>
    <n v="8968.2627210676437"/>
  </r>
  <r>
    <d v="2024-09-03T00:00:00"/>
    <x v="2"/>
    <s v="Printer"/>
    <s v="Frank"/>
    <n v="11"/>
    <n v="1598"/>
    <x v="1"/>
    <n v="17578"/>
    <n v="15338.177426518219"/>
    <n v="2239.822573481782"/>
  </r>
  <r>
    <d v="2024-11-19T00:00:00"/>
    <x v="1"/>
    <s v="Printer"/>
    <m/>
    <n v="5"/>
    <n v="199"/>
    <x v="1"/>
    <n v="995"/>
    <n v="719.55971168252825"/>
    <n v="275.44028831747181"/>
  </r>
  <r>
    <d v="2024-07-21T00:00:00"/>
    <x v="2"/>
    <s v="Monitor"/>
    <s v="Charlie"/>
    <n v="19"/>
    <n v="360"/>
    <x v="1"/>
    <n v="6840"/>
    <n v="4895.9107752899463"/>
    <n v="1944.0892247100539"/>
  </r>
  <r>
    <d v="2024-07-02T00:00:00"/>
    <x v="0"/>
    <m/>
    <s v="Frank"/>
    <n v="19"/>
    <n v="1092"/>
    <x v="2"/>
    <n v="20748"/>
    <n v="16811.66227868593"/>
    <n v="3936.3377213140739"/>
  </r>
  <r>
    <d v="2024-05-02T00:00:00"/>
    <x v="1"/>
    <s v="Monitor"/>
    <s v="Charlie"/>
    <n v="15"/>
    <n v="1428"/>
    <x v="1"/>
    <n v="21420"/>
    <n v="12915.510007245121"/>
    <n v="8504.489992754885"/>
  </r>
  <r>
    <d v="2024-09-11T00:00:00"/>
    <x v="2"/>
    <s v="Camera"/>
    <s v="Bob"/>
    <n v="16"/>
    <n v="1477"/>
    <x v="2"/>
    <n v="23632"/>
    <n v="16576.119472550821"/>
    <n v="7055.8805274491824"/>
  </r>
  <r>
    <d v="2024-10-20T00:00:00"/>
    <x v="0"/>
    <s v="Smartwatch"/>
    <s v="Bob"/>
    <n v="9"/>
    <n v="385"/>
    <x v="0"/>
    <n v="3465"/>
    <n v="2393.6002178233848"/>
    <n v="1071.399782176615"/>
  </r>
  <r>
    <d v="2024-10-06T00:00:00"/>
    <x v="1"/>
    <s v="Camera"/>
    <s v="Grace"/>
    <n v="4"/>
    <n v="-10"/>
    <x v="2"/>
    <n v="-40"/>
    <n v="-34.41717713140855"/>
    <n v="-5.5828228685914496"/>
  </r>
  <r>
    <d v="2024-11-20T00:00:00"/>
    <x v="2"/>
    <s v="Tablet"/>
    <s v="David"/>
    <n v="15"/>
    <n v="1226"/>
    <x v="2"/>
    <n v="18390"/>
    <n v="13953.174564777661"/>
    <n v="4436.8254352223375"/>
  </r>
  <r>
    <d v="2024-04-07T00:00:00"/>
    <x v="2"/>
    <s v="Tablet"/>
    <s v="Bob"/>
    <n v="12"/>
    <n v="162"/>
    <x v="2"/>
    <n v="1944"/>
    <n v="1379.0173156931839"/>
    <n v="564.98268430681628"/>
  </r>
  <r>
    <d v="2024-07-16T00:00:00"/>
    <x v="2"/>
    <s v="Camera"/>
    <s v="Bob"/>
    <n v="3"/>
    <n v="786"/>
    <x v="2"/>
    <n v="2358"/>
    <n v="1603.02450410602"/>
    <n v="754.97549589397954"/>
  </r>
  <r>
    <d v="2024-08-27T00:00:00"/>
    <x v="1"/>
    <s v="Mobile"/>
    <s v="Charlie"/>
    <n v="14"/>
    <n v="1405"/>
    <x v="2"/>
    <n v="19670"/>
    <n v="15286.59838179152"/>
    <n v="4383.4016182084779"/>
  </r>
  <r>
    <d v="2024-05-23T00:00:00"/>
    <x v="0"/>
    <s v="Mobile"/>
    <s v="David"/>
    <n v="17"/>
    <n v="1564"/>
    <x v="2"/>
    <n v="26588"/>
    <n v="17162.605638230089"/>
    <n v="9425.3943617699078"/>
  </r>
  <r>
    <d v="2024-04-06T00:00:00"/>
    <x v="0"/>
    <s v="Monitor"/>
    <s v="Bob"/>
    <n v="19"/>
    <n v="1416"/>
    <x v="1"/>
    <n v="26904"/>
    <n v="18129.567927588079"/>
    <n v="8774.4320724119207"/>
  </r>
  <r>
    <d v="2024-07-19T00:00:00"/>
    <x v="3"/>
    <s v="Camera"/>
    <s v="Frank"/>
    <n v="6"/>
    <n v="837"/>
    <x v="2"/>
    <n v="5022"/>
    <n v="3455.5560878865522"/>
    <n v="1566.4439121134481"/>
  </r>
  <r>
    <d v="2024-05-03T00:00:00"/>
    <x v="2"/>
    <s v="Smartwatch"/>
    <s v="Hannah"/>
    <n v="4"/>
    <n v="1130"/>
    <x v="0"/>
    <n v="4520"/>
    <n v="3536.3245329550118"/>
    <n v="983.67546704498818"/>
  </r>
  <r>
    <d v="2024-07-05T00:00:00"/>
    <x v="3"/>
    <s v="Monitor"/>
    <s v="Bob"/>
    <n v="7"/>
    <n v="738"/>
    <x v="1"/>
    <n v="5166"/>
    <n v="3678.0705354837328"/>
    <n v="1487.929464516267"/>
  </r>
  <r>
    <d v="2024-11-21T00:00:00"/>
    <x v="3"/>
    <s v="Headphones"/>
    <s v="Hannah"/>
    <n v="19"/>
    <n v="1035"/>
    <x v="0"/>
    <n v="19665"/>
    <n v="14782.868579058229"/>
    <n v="4882.1314209417687"/>
  </r>
  <r>
    <d v="2024-12-14T00:00:00"/>
    <x v="0"/>
    <s v="Mobile"/>
    <s v="David"/>
    <n v="17"/>
    <n v="1215"/>
    <x v="2"/>
    <n v="20655"/>
    <n v="16423.440701429648"/>
    <n v="4231.5592985703479"/>
  </r>
  <r>
    <d v="2024-09-15T00:00:00"/>
    <x v="1"/>
    <s v="Laptop"/>
    <s v="Grace"/>
    <n v="16"/>
    <n v="1313"/>
    <x v="2"/>
    <n v="21008"/>
    <n v="18631.606136930372"/>
    <n v="2376.3938630696321"/>
  </r>
  <r>
    <d v="2024-05-27T00:00:00"/>
    <x v="1"/>
    <s v="Monitor"/>
    <s v="Eva"/>
    <m/>
    <n v="1994"/>
    <x v="1"/>
    <m/>
    <m/>
    <m/>
  </r>
  <r>
    <d v="2024-09-08T00:00:00"/>
    <x v="0"/>
    <s v="Tablet"/>
    <s v="David"/>
    <n v="8"/>
    <n v="575"/>
    <x v="2"/>
    <n v="4600"/>
    <n v="3319.254357189508"/>
    <n v="1280.745642810492"/>
  </r>
  <r>
    <d v="2024-12-11T00:00:00"/>
    <x v="1"/>
    <s v="Monitor"/>
    <s v="Charlie"/>
    <n v="19"/>
    <n v="1634"/>
    <x v="1"/>
    <n v="31046"/>
    <n v="25596.887182061171"/>
    <n v="5449.1128179388288"/>
  </r>
  <r>
    <d v="2024-05-26T00:00:00"/>
    <x v="3"/>
    <s v="Camera"/>
    <s v="Eva"/>
    <n v="8"/>
    <n v="1585"/>
    <x v="2"/>
    <n v="12680"/>
    <n v="11220.636664216679"/>
    <n v="1459.3633357833151"/>
  </r>
  <r>
    <d v="2024-05-27T00:00:00"/>
    <x v="2"/>
    <s v="Laptop"/>
    <s v="Frank"/>
    <n v="18"/>
    <n v="152"/>
    <x v="2"/>
    <n v="2736"/>
    <n v="2051.4915518729058"/>
    <n v="684.5084481270942"/>
  </r>
  <r>
    <d v="2024-12-17T00:00:00"/>
    <x v="0"/>
    <s v="Camera"/>
    <s v="Alice"/>
    <n v="16"/>
    <n v="853"/>
    <x v="2"/>
    <n v="13648"/>
    <n v="9869.5386429783593"/>
    <n v="3778.4613570216411"/>
  </r>
  <r>
    <d v="2024-07-17T00:00:00"/>
    <x v="2"/>
    <s v="Printer"/>
    <s v="Hannah"/>
    <n v="19"/>
    <n v="585"/>
    <x v="1"/>
    <n v="11115"/>
    <n v="6929.1533518179558"/>
    <n v="4185.8466481820442"/>
  </r>
  <r>
    <d v="2024-11-03T00:00:00"/>
    <x v="1"/>
    <s v="Tablet"/>
    <s v="Hannah"/>
    <n v="10"/>
    <n v="1767"/>
    <x v="2"/>
    <n v="17670"/>
    <n v="15332.455334820221"/>
    <n v="2337.5446651797788"/>
  </r>
  <r>
    <d v="2024-05-07T00:00:00"/>
    <x v="2"/>
    <s v="Tablet"/>
    <s v="Hannah"/>
    <n v="17"/>
    <n v="1613"/>
    <x v="2"/>
    <n v="27421"/>
    <n v="18479.84232409285"/>
    <n v="8941.1576759071504"/>
  </r>
  <r>
    <d v="2024-02-08T00:00:00"/>
    <x v="1"/>
    <s v="Mobile"/>
    <s v="David"/>
    <n v="13"/>
    <n v="1487"/>
    <x v="2"/>
    <n v="19331"/>
    <n v="11969.511031023239"/>
    <n v="7361.4889689767642"/>
  </r>
  <r>
    <d v="2024-12-03T00:00:00"/>
    <x v="1"/>
    <s v="Monitor"/>
    <s v="Hannah"/>
    <n v="13"/>
    <n v="1235"/>
    <x v="1"/>
    <n v="16055"/>
    <n v="12220.440593165949"/>
    <n v="3834.5594068340488"/>
  </r>
  <r>
    <d v="2024-12-25T00:00:00"/>
    <x v="3"/>
    <s v="Mobile"/>
    <s v="Grace"/>
    <n v="7"/>
    <n v="508"/>
    <x v="2"/>
    <n v="3556"/>
    <n v="3036.0057423117551"/>
    <n v="519.9942576882454"/>
  </r>
  <r>
    <d v="2024-05-08T00:00:00"/>
    <x v="1"/>
    <s v="Laptop"/>
    <s v="Hannah"/>
    <n v="10"/>
    <n v="1130"/>
    <x v="2"/>
    <n v="11300"/>
    <n v="8158.4928385621479"/>
    <n v="3141.5071614378521"/>
  </r>
  <r>
    <d v="2024-09-23T00:00:00"/>
    <x v="3"/>
    <s v="Monitor"/>
    <s v="Charlie"/>
    <n v="2"/>
    <n v="1865"/>
    <x v="1"/>
    <n v="3730"/>
    <n v="3114.252499107939"/>
    <n v="615.74750089206054"/>
  </r>
  <r>
    <d v="2024-05-30T00:00:00"/>
    <x v="3"/>
    <s v="Printer"/>
    <s v="Frank"/>
    <n v="4"/>
    <n v="767"/>
    <x v="1"/>
    <n v="3068"/>
    <n v="2610.6188851041902"/>
    <n v="457.38111489581019"/>
  </r>
  <r>
    <d v="2024-10-24T00:00:00"/>
    <x v="3"/>
    <s v="Camera"/>
    <s v="Hannah"/>
    <n v="6"/>
    <n v="1320"/>
    <x v="2"/>
    <n v="7920"/>
    <n v="5831.6628557559961"/>
    <n v="2088.3371442440039"/>
  </r>
  <r>
    <d v="2024-04-08T00:00:00"/>
    <x v="0"/>
    <s v="Printer"/>
    <s v="Hannah"/>
    <n v="18"/>
    <n v="934"/>
    <x v="1"/>
    <n v="16812"/>
    <n v="13067.74097057737"/>
    <n v="3744.259029422627"/>
  </r>
  <r>
    <d v="2024-09-19T00:00:00"/>
    <x v="0"/>
    <s v="Tablet"/>
    <s v="Eva"/>
    <n v="6"/>
    <n v="975"/>
    <x v="2"/>
    <n v="5850"/>
    <n v="4447.0160839358396"/>
    <n v="1402.98391606416"/>
  </r>
  <r>
    <d v="2024-09-08T00:00:00"/>
    <x v="1"/>
    <s v="Laptop"/>
    <s v="Frank"/>
    <n v="17"/>
    <n v="1858"/>
    <x v="2"/>
    <n v="31586"/>
    <n v="27851.232145676211"/>
    <n v="3734.7678543237889"/>
  </r>
  <r>
    <d v="2024-05-23T00:00:00"/>
    <x v="3"/>
    <s v="Headphones"/>
    <s v="Hannah"/>
    <n v="14"/>
    <m/>
    <x v="0"/>
    <m/>
    <m/>
    <m/>
  </r>
  <r>
    <d v="2024-12-11T00:00:00"/>
    <x v="0"/>
    <s v="Laptop"/>
    <s v="David"/>
    <n v="11"/>
    <n v="1101"/>
    <x v="2"/>
    <n v="12111"/>
    <n v="10628.64803437105"/>
    <n v="1482.3519656289479"/>
  </r>
  <r>
    <d v="2024-04-21T00:00:00"/>
    <x v="3"/>
    <s v="Smartwatch"/>
    <s v="Bob"/>
    <n v="19"/>
    <n v="349"/>
    <x v="0"/>
    <n v="6631"/>
    <n v="4416.2658493586796"/>
    <n v="2214.73415064132"/>
  </r>
  <r>
    <d v="2024-02-29T00:00:00"/>
    <x v="2"/>
    <s v="Laptop"/>
    <s v="Grace"/>
    <n v="2"/>
    <n v="1718"/>
    <x v="2"/>
    <n v="3436"/>
    <n v="2381.392146869116"/>
    <n v="1054.607853130884"/>
  </r>
  <r>
    <d v="2024-01-02T00:00:00"/>
    <x v="2"/>
    <s v="Printer"/>
    <s v="David"/>
    <n v="3"/>
    <n v="1363"/>
    <x v="1"/>
    <n v="4089"/>
    <n v="2540.3895575499891"/>
    <n v="1548.6104424500111"/>
  </r>
  <r>
    <d v="2024-10-30T00:00:00"/>
    <x v="2"/>
    <s v="Smartwatch"/>
    <s v="Alice"/>
    <n v="11"/>
    <n v="479"/>
    <x v="0"/>
    <n v="5269"/>
    <n v="3951.604507149063"/>
    <n v="1317.395492850937"/>
  </r>
  <r>
    <d v="2024-09-10T00:00:00"/>
    <x v="4"/>
    <s v="Smartwatch"/>
    <s v="David"/>
    <n v="6"/>
    <n v="971"/>
    <x v="0"/>
    <n v="5826"/>
    <n v="5023.0438068306948"/>
    <n v="802.95619316930515"/>
  </r>
  <r>
    <d v="2024-05-19T00:00:00"/>
    <x v="3"/>
    <s v="Monitor"/>
    <s v="Eva"/>
    <n v="14"/>
    <n v="934"/>
    <x v="1"/>
    <n v="13076"/>
    <n v="9127.7542235043711"/>
    <n v="3948.2457764956289"/>
  </r>
  <r>
    <d v="2024-02-06T00:00:00"/>
    <x v="2"/>
    <s v="Monitor"/>
    <s v="Eva"/>
    <n v="19"/>
    <n v="1594"/>
    <x v="1"/>
    <n v="30286"/>
    <n v="19337.14556732024"/>
    <n v="10948.85443267976"/>
  </r>
  <r>
    <d v="2024-06-08T00:00:00"/>
    <x v="0"/>
    <s v="Smartwatch"/>
    <s v="Hannah"/>
    <n v="16"/>
    <n v="874"/>
    <x v="0"/>
    <n v="13984"/>
    <n v="8677.5457286783621"/>
    <n v="5306.4542713216379"/>
  </r>
  <r>
    <d v="2024-01-09T00:00:00"/>
    <x v="2"/>
    <s v="Headphones"/>
    <s v="David"/>
    <n v="7"/>
    <n v="1018"/>
    <x v="0"/>
    <n v="7126"/>
    <n v="5232.2660826010688"/>
    <n v="1893.733917398931"/>
  </r>
  <r>
    <d v="2024-08-20T00:00:00"/>
    <x v="2"/>
    <s v="Monitor"/>
    <s v="Eva"/>
    <n v="8"/>
    <m/>
    <x v="1"/>
    <m/>
    <m/>
    <m/>
  </r>
  <r>
    <d v="2024-04-08T00:00:00"/>
    <x v="2"/>
    <s v="Laptop"/>
    <s v="Bob"/>
    <n v="19"/>
    <n v="554"/>
    <x v="2"/>
    <n v="10526"/>
    <n v="7408.5273024133803"/>
    <n v="3117.4726975866201"/>
  </r>
  <r>
    <d v="2024-05-26T00:00:00"/>
    <x v="1"/>
    <s v="Printer"/>
    <s v="Frank"/>
    <n v="16"/>
    <n v="465"/>
    <x v="1"/>
    <n v="7440"/>
    <n v="6294.1949316399996"/>
    <n v="1145.80506836"/>
  </r>
  <r>
    <d v="2024-10-30T00:00:00"/>
    <x v="0"/>
    <s v="Laptop"/>
    <s v="David"/>
    <n v="7"/>
    <n v="1413"/>
    <x v="2"/>
    <n v="9891"/>
    <n v="7074.1837988564021"/>
    <n v="2816.8162011435979"/>
  </r>
  <r>
    <d v="2024-07-26T00:00:00"/>
    <x v="3"/>
    <s v="Headphones"/>
    <s v="Grace"/>
    <n v="9"/>
    <n v="1997"/>
    <x v="0"/>
    <n v="17973"/>
    <n v="14072.16300414645"/>
    <n v="3900.836995853555"/>
  </r>
  <r>
    <d v="2024-05-10T00:00:00"/>
    <x v="0"/>
    <s v="Tablet"/>
    <s v="Bob"/>
    <n v="13"/>
    <n v="502"/>
    <x v="2"/>
    <n v="6526"/>
    <n v="4898.7289572899072"/>
    <n v="1627.2710427100931"/>
  </r>
  <r>
    <d v="2024-05-31T00:00:00"/>
    <x v="3"/>
    <s v="tabllet"/>
    <s v="Hannah"/>
    <n v="1"/>
    <n v="157"/>
    <x v="2"/>
    <n v="157"/>
    <n v="128.04291809888869"/>
    <n v="28.95708190111128"/>
  </r>
  <r>
    <d v="2024-02-23T00:00:00"/>
    <x v="1"/>
    <s v="Printer"/>
    <s v="Frank"/>
    <n v="8"/>
    <n v="620"/>
    <x v="1"/>
    <n v="4960"/>
    <n v="3208.3734589735018"/>
    <n v="1751.626541026498"/>
  </r>
  <r>
    <d v="2024-04-29T00:00:00"/>
    <x v="1"/>
    <s v="Monitor"/>
    <s v="Grace"/>
    <n v="4"/>
    <m/>
    <x v="1"/>
    <m/>
    <m/>
    <m/>
  </r>
  <r>
    <d v="2024-06-09T00:00:00"/>
    <x v="1"/>
    <s v="Printer"/>
    <s v="Hannah"/>
    <n v="3"/>
    <n v="1238"/>
    <x v="1"/>
    <n v="3714"/>
    <n v="2945.535663030249"/>
    <n v="768.46433696975055"/>
  </r>
  <r>
    <d v="2024-04-25T00:00:00"/>
    <x v="1"/>
    <s v="Laptop"/>
    <s v="Grace"/>
    <n v="3"/>
    <n v="309"/>
    <x v="2"/>
    <n v="927"/>
    <n v="631.55223275242781"/>
    <n v="295.44776724757219"/>
  </r>
  <r>
    <d v="2024-03-15T00:00:00"/>
    <x v="3"/>
    <s v="Mobile"/>
    <s v="Hannah"/>
    <n v="13"/>
    <n v="1164"/>
    <x v="2"/>
    <n v="15132"/>
    <n v="9638.7225334635332"/>
    <n v="5493.2774665364668"/>
  </r>
  <r>
    <d v="2024-04-22T00:00:00"/>
    <x v="2"/>
    <s v="Camera"/>
    <s v="Grace"/>
    <n v="8"/>
    <n v="915"/>
    <x v="2"/>
    <n v="7320"/>
    <n v="4720.7973388650335"/>
    <n v="2599.202661134967"/>
  </r>
  <r>
    <d v="2024-04-13T00:00:00"/>
    <x v="3"/>
    <s v="Camera"/>
    <s v="Frank"/>
    <n v="7"/>
    <n v="272"/>
    <x v="2"/>
    <n v="1904"/>
    <n v="1589.4570638430571"/>
    <n v="314.54293615694291"/>
  </r>
  <r>
    <d v="2024-12-05T00:00:00"/>
    <x v="0"/>
    <s v="Monitor"/>
    <s v="Bob"/>
    <n v="1"/>
    <n v="333"/>
    <x v="1"/>
    <n v="333"/>
    <n v="258.55219432596448"/>
    <n v="74.447805674035521"/>
  </r>
  <r>
    <d v="2024-09-10T00:00:00"/>
    <x v="1"/>
    <s v="Headphones"/>
    <s v="Grace"/>
    <n v="16"/>
    <m/>
    <x v="0"/>
    <m/>
    <m/>
    <m/>
  </r>
  <r>
    <d v="2024-08-14T00:00:00"/>
    <x v="1"/>
    <s v="Camera"/>
    <s v="Grace"/>
    <n v="6"/>
    <n v="1713"/>
    <x v="2"/>
    <n v="10278"/>
    <n v="7193.2664691326254"/>
    <n v="3084.7335308673751"/>
  </r>
  <r>
    <d v="2024-04-21T00:00:00"/>
    <x v="0"/>
    <s v="Printer"/>
    <s v="Charlie"/>
    <n v="7"/>
    <n v="1743"/>
    <x v="1"/>
    <n v="12201"/>
    <n v="10452.931023507261"/>
    <n v="1748.068976492739"/>
  </r>
  <r>
    <d v="2024-04-08T00:00:00"/>
    <x v="3"/>
    <s v="Camera"/>
    <s v="David"/>
    <n v="12"/>
    <n v="892"/>
    <x v="2"/>
    <n v="10704"/>
    <n v="9231.4374163670273"/>
    <n v="1472.562583632973"/>
  </r>
  <r>
    <d v="2024-06-01T00:00:00"/>
    <x v="2"/>
    <s v="Tablet"/>
    <s v="Frank"/>
    <n v="9"/>
    <n v="1526"/>
    <x v="2"/>
    <n v="13734"/>
    <n v="10635.31585069517"/>
    <n v="3098.6841493048291"/>
  </r>
  <r>
    <d v="2024-12-14T00:00:00"/>
    <x v="2"/>
    <s v="Tablet"/>
    <s v="Hannah"/>
    <n v="11"/>
    <n v="1162"/>
    <x v="2"/>
    <n v="12782"/>
    <n v="9680.6166741991492"/>
    <n v="3101.3833258008508"/>
  </r>
  <r>
    <d v="2024-12-31T00:00:00"/>
    <x v="0"/>
    <s v="Monitor"/>
    <s v="Frank"/>
    <n v="10"/>
    <n v="218"/>
    <x v="1"/>
    <n v="2180"/>
    <n v="1841.9570195180779"/>
    <n v="338.04298048192231"/>
  </r>
  <r>
    <d v="2024-12-03T00:00:00"/>
    <x v="2"/>
    <s v="Tablet"/>
    <s v="Eva"/>
    <n v="1"/>
    <n v="434"/>
    <x v="2"/>
    <n v="434"/>
    <n v="357.96344040922759"/>
    <n v="76.036559590772356"/>
  </r>
  <r>
    <d v="2024-07-12T00:00:00"/>
    <x v="3"/>
    <s v="Camera"/>
    <s v="Hannah"/>
    <n v="18"/>
    <n v="1459"/>
    <x v="2"/>
    <n v="26262"/>
    <n v="18911.201989366309"/>
    <n v="7350.7980106336872"/>
  </r>
  <r>
    <d v="2024-11-05T00:00:00"/>
    <x v="3"/>
    <s v="Headphones"/>
    <s v="Frank"/>
    <n v="4"/>
    <n v="1662"/>
    <x v="0"/>
    <n v="6648"/>
    <n v="4153.8140328671088"/>
    <n v="2494.1859671328912"/>
  </r>
  <r>
    <d v="2024-06-11T00:00:00"/>
    <x v="0"/>
    <s v="Smartwatch"/>
    <s v="Bob"/>
    <n v="5"/>
    <m/>
    <x v="0"/>
    <m/>
    <m/>
    <m/>
  </r>
  <r>
    <d v="2024-07-26T00:00:00"/>
    <x v="3"/>
    <s v="Smartwatch"/>
    <s v="Hannah"/>
    <n v="9"/>
    <n v="1197"/>
    <x v="0"/>
    <n v="10773"/>
    <n v="7009.0248554319742"/>
    <n v="3763.9751445680258"/>
  </r>
  <r>
    <d v="2024-06-17T00:00:00"/>
    <x v="1"/>
    <s v="Monitor"/>
    <s v="Hannah"/>
    <n v="17"/>
    <n v="1314"/>
    <x v="1"/>
    <n v="22338"/>
    <n v="13512.548201074869"/>
    <n v="8825.4517989251253"/>
  </r>
  <r>
    <d v="2024-06-09T00:00:00"/>
    <x v="0"/>
    <s v="Mobile"/>
    <s v="Frank"/>
    <n v="3"/>
    <n v="423"/>
    <x v="2"/>
    <n v="1269"/>
    <n v="1082.445328450159"/>
    <n v="186.5546715498408"/>
  </r>
  <r>
    <d v="2024-03-08T00:00:00"/>
    <x v="3"/>
    <s v="Smartwatch"/>
    <s v="Hannah"/>
    <n v="16"/>
    <n v="1110"/>
    <x v="0"/>
    <n v="17760"/>
    <n v="13736.936487954041"/>
    <n v="4023.0635120459629"/>
  </r>
  <r>
    <d v="2024-10-15T00:00:00"/>
    <x v="0"/>
    <s v="Smartwatch"/>
    <s v="Charlie"/>
    <n v="5"/>
    <n v="1270"/>
    <x v="0"/>
    <n v="6350"/>
    <n v="5508.6237976956199"/>
    <n v="841.37620230438006"/>
  </r>
  <r>
    <d v="2024-10-03T00:00:00"/>
    <x v="2"/>
    <s v="Tablet"/>
    <s v="David"/>
    <n v="16"/>
    <n v="1890"/>
    <x v="2"/>
    <n v="30240"/>
    <n v="22540.183090768791"/>
    <n v="7699.8169092312091"/>
  </r>
  <r>
    <d v="2024-10-30T00:00:00"/>
    <x v="3"/>
    <s v="Tablet"/>
    <s v="Hannah"/>
    <n v="3"/>
    <n v="383"/>
    <x v="2"/>
    <n v="1149"/>
    <n v="1008.758035415221"/>
    <n v="140.24196458477951"/>
  </r>
  <r>
    <d v="2024-05-14T00:00:00"/>
    <x v="1"/>
    <s v="Camera"/>
    <s v="David"/>
    <n v="15"/>
    <n v="312"/>
    <x v="2"/>
    <n v="4680"/>
    <n v="3304.9763341623252"/>
    <n v="1375.023665837675"/>
  </r>
  <r>
    <d v="2024-07-13T00:00:00"/>
    <x v="3"/>
    <s v="Monitor"/>
    <s v="Frank"/>
    <n v="3"/>
    <n v="1758"/>
    <x v="1"/>
    <n v="5274"/>
    <n v="4310.7387120933181"/>
    <n v="963.2612879066819"/>
  </r>
  <r>
    <d v="2024-05-07T00:00:00"/>
    <x v="0"/>
    <s v="Mobile"/>
    <s v="Grace"/>
    <n v="14"/>
    <n v="1841"/>
    <x v="2"/>
    <n v="25774"/>
    <n v="17791.687886913958"/>
    <n v="7982.3121130860382"/>
  </r>
  <r>
    <d v="2024-02-02T00:00:00"/>
    <x v="0"/>
    <s v="Monitor"/>
    <s v="Alice"/>
    <n v="16"/>
    <n v="1028"/>
    <x v="1"/>
    <n v="16448"/>
    <n v="9874.5419852599771"/>
    <n v="6573.4580147400229"/>
  </r>
  <r>
    <d v="2024-06-24T00:00:00"/>
    <x v="3"/>
    <s v="Laptop"/>
    <s v="Alice"/>
    <n v="17"/>
    <n v="851"/>
    <x v="2"/>
    <n v="14467"/>
    <n v="10328.329254395931"/>
    <n v="4138.6707456040731"/>
  </r>
  <r>
    <d v="2024-01-22T00:00:00"/>
    <x v="1"/>
    <s v="Printer"/>
    <s v="Grace"/>
    <n v="18"/>
    <n v="1517"/>
    <x v="1"/>
    <n v="27306"/>
    <n v="22427.227530288259"/>
    <n v="4878.7724697117374"/>
  </r>
  <r>
    <d v="2024-08-25T00:00:00"/>
    <x v="1"/>
    <s v="Mobile"/>
    <s v="Grace"/>
    <n v="18"/>
    <n v="438"/>
    <x v="2"/>
    <n v="7884"/>
    <n v="5085.2371892268948"/>
    <n v="2798.7628107731048"/>
  </r>
  <r>
    <d v="2024-06-06T00:00:00"/>
    <x v="1"/>
    <s v="Mobile"/>
    <s v="Grace"/>
    <n v="14"/>
    <n v="1921"/>
    <x v="2"/>
    <n v="26894"/>
    <n v="20209.243764323892"/>
    <n v="6684.7562356761118"/>
  </r>
  <r>
    <d v="2024-02-07T00:00:00"/>
    <x v="0"/>
    <s v="Headphones"/>
    <s v="Bob"/>
    <n v="18"/>
    <n v="1145"/>
    <x v="0"/>
    <n v="20610"/>
    <n v="13678.78374083197"/>
    <n v="6931.2162591680299"/>
  </r>
  <r>
    <d v="2024-08-17T00:00:00"/>
    <x v="3"/>
    <s v="Monitor"/>
    <s v="Alice"/>
    <n v="15"/>
    <m/>
    <x v="1"/>
    <m/>
    <m/>
    <m/>
  </r>
  <r>
    <d v="2024-12-30T00:00:00"/>
    <x v="2"/>
    <s v="MOBLIE"/>
    <s v="Grace"/>
    <n v="15"/>
    <n v="1992"/>
    <x v="2"/>
    <n v="29880"/>
    <n v="23462.83956614885"/>
    <n v="6417.1604338511461"/>
  </r>
  <r>
    <d v="2024-02-20T00:00:00"/>
    <x v="0"/>
    <s v="Headphones"/>
    <s v="Bob"/>
    <n v="6"/>
    <n v="204"/>
    <x v="0"/>
    <n v="1224"/>
    <n v="1083.9625109098099"/>
    <n v="140.03748909019029"/>
  </r>
  <r>
    <d v="2024-09-20T00:00:00"/>
    <x v="1"/>
    <s v="Mobile"/>
    <s v="Eva"/>
    <n v="15"/>
    <n v="1589"/>
    <x v="2"/>
    <n v="23835"/>
    <n v="16522.690515942471"/>
    <n v="7312.3094840575322"/>
  </r>
  <r>
    <d v="2024-10-09T00:00:00"/>
    <x v="3"/>
    <s v="Mobile"/>
    <s v="Hannah"/>
    <n v="18"/>
    <n v="1582"/>
    <x v="2"/>
    <n v="28476"/>
    <n v="22045.940943314981"/>
    <n v="6430.0590566850151"/>
  </r>
  <r>
    <d v="2024-01-27T00:00:00"/>
    <x v="1"/>
    <s v="Mobile"/>
    <s v="Bob"/>
    <n v="4"/>
    <n v="1555"/>
    <x v="2"/>
    <n v="6220"/>
    <n v="5511.4238842229825"/>
    <n v="708.57611577701755"/>
  </r>
  <r>
    <d v="2024-08-13T00:00:00"/>
    <x v="2"/>
    <s v="Smartwatch"/>
    <s v="Alice"/>
    <n v="8"/>
    <n v="869"/>
    <x v="0"/>
    <n v="6952"/>
    <n v="5527.8480747489202"/>
    <n v="1424.15192525108"/>
  </r>
  <r>
    <d v="2024-10-03T00:00:00"/>
    <x v="1"/>
    <s v="Monitor"/>
    <s v="Frank"/>
    <n v="15"/>
    <n v="815"/>
    <x v="1"/>
    <n v="12225"/>
    <n v="9803.6430362217579"/>
    <n v="2421.3569637782421"/>
  </r>
  <r>
    <d v="2024-10-12T00:00:00"/>
    <x v="1"/>
    <s v="Printer"/>
    <s v="Eva"/>
    <n v="3"/>
    <n v="1945"/>
    <x v="1"/>
    <n v="5835"/>
    <n v="3814.2143594872432"/>
    <n v="2020.785640512757"/>
  </r>
  <r>
    <d v="2024-04-06T00:00:00"/>
    <x v="2"/>
    <s v="Printer"/>
    <s v="Alice"/>
    <n v="15"/>
    <n v="1897"/>
    <x v="1"/>
    <n v="28455"/>
    <n v="21278.162523527149"/>
    <n v="7176.8374764728469"/>
  </r>
  <r>
    <d v="2024-10-10T00:00:00"/>
    <x v="3"/>
    <s v="Headphones"/>
    <s v="Hannah"/>
    <n v="13"/>
    <n v="1742"/>
    <x v="0"/>
    <n v="22646"/>
    <n v="16081.486767161339"/>
    <n v="6564.5132328386644"/>
  </r>
  <r>
    <d v="2024-11-12T00:00:00"/>
    <x v="0"/>
    <s v="Mobile"/>
    <s v="Bob"/>
    <n v="9"/>
    <n v="862"/>
    <x v="2"/>
    <n v="7758"/>
    <n v="5750.9049782548836"/>
    <n v="2007.0950217451159"/>
  </r>
  <r>
    <d v="2024-10-30T00:00:00"/>
    <x v="3"/>
    <m/>
    <s v="Charlie"/>
    <n v="2"/>
    <n v="1344"/>
    <x v="1"/>
    <n v="2688"/>
    <n v="2258.5865512427299"/>
    <n v="429.41344875727009"/>
  </r>
  <r>
    <d v="2024-05-26T00:00:00"/>
    <x v="2"/>
    <s v="Tablet"/>
    <m/>
    <n v="8"/>
    <n v="478"/>
    <x v="2"/>
    <n v="3824"/>
    <n v="2822.913878742324"/>
    <n v="1001.086121257676"/>
  </r>
  <r>
    <d v="2024-01-04T00:00:00"/>
    <x v="1"/>
    <s v="Monitor"/>
    <s v="Hannah"/>
    <n v="17"/>
    <n v="1345"/>
    <x v="1"/>
    <n v="22865"/>
    <n v="14150.124227509619"/>
    <n v="8714.8757724903826"/>
  </r>
  <r>
    <d v="2024-02-04T00:00:00"/>
    <x v="3"/>
    <s v="Printer"/>
    <s v="Alice"/>
    <n v="13"/>
    <n v="1381"/>
    <x v="1"/>
    <n v="17953"/>
    <n v="15648.956832792441"/>
    <n v="2304.0431672075651"/>
  </r>
  <r>
    <d v="2024-07-10T00:00:00"/>
    <x v="0"/>
    <s v="Camera"/>
    <s v="Grace"/>
    <n v="1"/>
    <n v="812"/>
    <x v="2"/>
    <n v="812"/>
    <n v="619.91715018330001"/>
    <n v="192.08284981669999"/>
  </r>
  <r>
    <d v="2024-02-18T00:00:00"/>
    <x v="2"/>
    <s v="Monitor"/>
    <s v="Bob"/>
    <n v="2"/>
    <n v="1490"/>
    <x v="1"/>
    <n v="2980"/>
    <n v="2614.497956526081"/>
    <n v="365.502043473919"/>
  </r>
  <r>
    <d v="2024-01-17T00:00:00"/>
    <x v="3"/>
    <s v="Camera"/>
    <s v="Grace"/>
    <n v="15"/>
    <n v="1893"/>
    <x v="2"/>
    <n v="28395"/>
    <n v="21912.601910707319"/>
    <n v="6482.3980892926811"/>
  </r>
  <r>
    <d v="2024-06-20T00:00:00"/>
    <x v="0"/>
    <s v="Printer"/>
    <s v="Grace"/>
    <n v="12"/>
    <n v="1472"/>
    <x v="1"/>
    <n v="17664"/>
    <n v="10967.41676561504"/>
    <n v="6696.5832343849597"/>
  </r>
  <r>
    <d v="2024-08-07T00:00:00"/>
    <x v="2"/>
    <s v="Tablet"/>
    <s v="Grace"/>
    <n v="14"/>
    <n v="324"/>
    <x v="2"/>
    <n v="4536"/>
    <n v="3473.9446707098691"/>
    <n v="1062.0553292901311"/>
  </r>
  <r>
    <d v="2024-06-06T00:00:00"/>
    <x v="0"/>
    <s v="Camera"/>
    <s v="Grace"/>
    <n v="2"/>
    <n v="1837"/>
    <x v="2"/>
    <n v="3674"/>
    <n v="2838.979451393433"/>
    <n v="835.02054860656744"/>
  </r>
  <r>
    <d v="2024-02-15T00:00:00"/>
    <x v="2"/>
    <s v="Smartwatch"/>
    <s v="Grace"/>
    <n v="18"/>
    <n v="837"/>
    <x v="0"/>
    <n v="15066"/>
    <n v="10008.373386654381"/>
    <n v="5057.6266133456193"/>
  </r>
  <r>
    <d v="2024-01-06T00:00:00"/>
    <x v="1"/>
    <s v="Printer"/>
    <s v="Eva"/>
    <n v="7"/>
    <n v="335"/>
    <x v="1"/>
    <n v="2345"/>
    <n v="1738.3689606674291"/>
    <n v="606.63103933257094"/>
  </r>
  <r>
    <d v="2024-04-08T00:00:00"/>
    <x v="3"/>
    <s v="Smartwatch"/>
    <s v="Alice"/>
    <n v="6"/>
    <n v="282"/>
    <x v="0"/>
    <n v="1692"/>
    <n v="1248.4125114270651"/>
    <n v="443.58748857293472"/>
  </r>
  <r>
    <d v="2024-08-20T00:00:00"/>
    <x v="0"/>
    <s v="Printer"/>
    <s v="Hannah"/>
    <n v="14"/>
    <n v="811"/>
    <x v="1"/>
    <n v="11354"/>
    <n v="8934.0407387939795"/>
    <n v="2419.959261206021"/>
  </r>
  <r>
    <d v="2024-02-06T00:00:00"/>
    <x v="2"/>
    <s v="Laptop"/>
    <s v="Alice"/>
    <n v="8"/>
    <n v="1992"/>
    <x v="2"/>
    <n v="15936"/>
    <n v="10802.763082940281"/>
    <n v="5133.2369170597212"/>
  </r>
  <r>
    <d v="2024-10-06T00:00:00"/>
    <x v="0"/>
    <s v="Laptop"/>
    <s v="Hannah"/>
    <n v="2"/>
    <n v="1881"/>
    <x v="2"/>
    <n v="3762"/>
    <n v="2913.761264496331"/>
    <n v="848.23873550366852"/>
  </r>
  <r>
    <d v="2024-12-14T00:00:00"/>
    <x v="4"/>
    <s v="Laptop"/>
    <s v="David"/>
    <n v="17"/>
    <n v="543"/>
    <x v="2"/>
    <n v="9231"/>
    <n v="6205.8684916744851"/>
    <n v="3025.1315083255149"/>
  </r>
  <r>
    <d v="2024-10-28T00:00:00"/>
    <x v="3"/>
    <s v="Camera"/>
    <s v="Bob"/>
    <n v="5"/>
    <n v="1988"/>
    <x v="2"/>
    <n v="9940"/>
    <n v="7295.299801712049"/>
    <n v="2644.700198287951"/>
  </r>
  <r>
    <d v="2024-06-29T00:00:00"/>
    <x v="1"/>
    <s v="Smartwatch"/>
    <s v="Charlie"/>
    <n v="14"/>
    <n v="722"/>
    <x v="0"/>
    <n v="10108"/>
    <n v="6436.892762670449"/>
    <n v="3671.107237329551"/>
  </r>
  <r>
    <d v="2024-04-04T00:00:00"/>
    <x v="0"/>
    <s v="Smartwatch"/>
    <s v="Eva"/>
    <n v="3"/>
    <n v="1129"/>
    <x v="0"/>
    <n v="3387"/>
    <n v="2070.1010866820479"/>
    <n v="1316.8989133179521"/>
  </r>
  <r>
    <d v="2024-04-08T00:00:00"/>
    <x v="4"/>
    <s v="Smartwatch"/>
    <s v="Bob"/>
    <n v="5"/>
    <n v="1359"/>
    <x v="0"/>
    <n v="6795"/>
    <n v="4730.5172232641498"/>
    <n v="2064.4827767358502"/>
  </r>
  <r>
    <d v="2024-07-06T00:00:00"/>
    <x v="2"/>
    <s v="Tablet"/>
    <s v="Eva"/>
    <n v="16"/>
    <n v="1250"/>
    <x v="2"/>
    <n v="20000"/>
    <n v="13647.430503898449"/>
    <n v="6352.5694961015524"/>
  </r>
  <r>
    <d v="2024-04-25T00:00:00"/>
    <x v="1"/>
    <s v="Smartwatch"/>
    <s v="Hannah"/>
    <n v="18"/>
    <n v="1227"/>
    <x v="0"/>
    <n v="22086"/>
    <n v="15947.875965937301"/>
    <n v="6138.1240340627028"/>
  </r>
  <r>
    <d v="2024-07-09T00:00:00"/>
    <x v="2"/>
    <s v="Tablet"/>
    <s v="Alice"/>
    <n v="17"/>
    <n v="848"/>
    <x v="2"/>
    <n v="14416"/>
    <n v="12809.98243497747"/>
    <n v="1606.0175650225301"/>
  </r>
  <r>
    <d v="2024-09-09T00:00:00"/>
    <x v="1"/>
    <s v="Laptop"/>
    <s v="Grace"/>
    <n v="11"/>
    <n v="1603"/>
    <x v="2"/>
    <n v="17633"/>
    <n v="13342.34074640556"/>
    <n v="4290.6592535944401"/>
  </r>
  <r>
    <d v="2024-06-09T00:00:00"/>
    <x v="2"/>
    <s v="Laptop"/>
    <s v="David"/>
    <n v="17"/>
    <n v="254"/>
    <x v="2"/>
    <n v="4318"/>
    <n v="3307.3851051295542"/>
    <n v="1010.6148948704461"/>
  </r>
  <r>
    <d v="2024-09-12T00:00:00"/>
    <x v="3"/>
    <s v="Camera"/>
    <s v="David"/>
    <n v="16"/>
    <n v="356"/>
    <x v="2"/>
    <n v="5696"/>
    <n v="5026.6078550798657"/>
    <n v="669.39214492013434"/>
  </r>
  <r>
    <d v="2024-11-18T00:00:00"/>
    <x v="4"/>
    <s v="Printer"/>
    <m/>
    <n v="2"/>
    <n v="334"/>
    <x v="1"/>
    <n v="668"/>
    <n v="585.39788637340337"/>
    <n v="82.602113626596633"/>
  </r>
  <r>
    <d v="2024-05-07T00:00:00"/>
    <x v="3"/>
    <s v="Laptop"/>
    <s v="Charlie"/>
    <n v="4"/>
    <n v="599"/>
    <x v="2"/>
    <n v="2396"/>
    <n v="2073.0996724636202"/>
    <n v="322.90032753637979"/>
  </r>
  <r>
    <d v="2024-01-18T00:00:00"/>
    <x v="0"/>
    <s v="Printer"/>
    <s v="David"/>
    <n v="7"/>
    <n v="388"/>
    <x v="1"/>
    <n v="2716"/>
    <n v="1709.44611580581"/>
    <n v="1006.55388419419"/>
  </r>
  <r>
    <d v="2024-10-07T00:00:00"/>
    <x v="0"/>
    <s v="Printer"/>
    <s v="Grace"/>
    <n v="2"/>
    <n v="609"/>
    <x v="1"/>
    <n v="1218"/>
    <n v="962.57227380412883"/>
    <n v="255.4277261958712"/>
  </r>
  <r>
    <d v="2024-08-10T00:00:00"/>
    <x v="0"/>
    <s v="Monitor"/>
    <s v="Alice"/>
    <n v="6"/>
    <n v="1675"/>
    <x v="1"/>
    <n v="10050"/>
    <n v="8466.4184261879382"/>
    <n v="1583.5815738120621"/>
  </r>
  <r>
    <d v="2024-02-23T00:00:00"/>
    <x v="3"/>
    <s v="Camera"/>
    <s v="Charlie"/>
    <n v="17"/>
    <n v="1923"/>
    <x v="2"/>
    <n v="32691"/>
    <n v="27809.331653089441"/>
    <n v="4881.6683469105556"/>
  </r>
  <r>
    <d v="2024-02-27T00:00:00"/>
    <x v="0"/>
    <s v="Mobile"/>
    <s v="Hannah"/>
    <n v="7"/>
    <n v="808"/>
    <x v="2"/>
    <n v="5656"/>
    <n v="4374.1928393972184"/>
    <n v="1281.807160602782"/>
  </r>
  <r>
    <d v="2024-11-18T00:00:00"/>
    <x v="3"/>
    <s v="Mobile"/>
    <s v="Bob"/>
    <n v="5"/>
    <n v="884"/>
    <x v="2"/>
    <n v="4420"/>
    <n v="2675.19909596666"/>
    <n v="1744.80090403334"/>
  </r>
  <r>
    <d v="2024-12-25T00:00:00"/>
    <x v="1"/>
    <s v="Headphones"/>
    <s v="Hannah"/>
    <n v="5"/>
    <n v="993"/>
    <x v="0"/>
    <n v="4965"/>
    <n v="4429.3453669953642"/>
    <n v="535.6546330046358"/>
  </r>
  <r>
    <d v="2024-06-22T00:00:00"/>
    <x v="2"/>
    <s v="Monitor"/>
    <s v="Grace"/>
    <n v="16"/>
    <n v="875"/>
    <x v="1"/>
    <n v="14000"/>
    <n v="10383.226151584109"/>
    <n v="3616.773848415889"/>
  </r>
  <r>
    <d v="2024-10-06T00:00:00"/>
    <x v="2"/>
    <s v="Camera"/>
    <s v="Grace"/>
    <n v="19"/>
    <n v="1692"/>
    <x v="2"/>
    <n v="32148"/>
    <n v="23084.796252376691"/>
    <n v="9063.2037476233127"/>
  </r>
  <r>
    <d v="2024-04-23T00:00:00"/>
    <x v="0"/>
    <s v="Headphones"/>
    <s v="David"/>
    <n v="9"/>
    <m/>
    <x v="0"/>
    <m/>
    <m/>
    <m/>
  </r>
  <r>
    <d v="2024-10-14T00:00:00"/>
    <x v="3"/>
    <m/>
    <s v="Charlie"/>
    <n v="5"/>
    <n v="1733"/>
    <x v="0"/>
    <n v="8665"/>
    <n v="6301.580212711463"/>
    <n v="2363.419787288537"/>
  </r>
  <r>
    <d v="2024-12-07T00:00:00"/>
    <x v="2"/>
    <s v="Monitor"/>
    <s v="Alice"/>
    <n v="8"/>
    <n v="236"/>
    <x v="1"/>
    <n v="1888"/>
    <n v="1269.9711587730469"/>
    <n v="618.02884122695264"/>
  </r>
  <r>
    <d v="2024-05-30T00:00:00"/>
    <x v="3"/>
    <s v="Mobile"/>
    <s v="Hannah"/>
    <n v="9"/>
    <n v="475"/>
    <x v="2"/>
    <n v="4275"/>
    <n v="2984.805375024157"/>
    <n v="1290.194624975843"/>
  </r>
  <r>
    <d v="2024-05-06T00:00:00"/>
    <x v="3"/>
    <s v="Camera"/>
    <s v="Frank"/>
    <n v="5"/>
    <n v="186"/>
    <x v="2"/>
    <n v="930"/>
    <n v="832.91477312715222"/>
    <n v="97.085226872847784"/>
  </r>
  <r>
    <d v="2024-06-03T00:00:00"/>
    <x v="0"/>
    <s v="Mobile"/>
    <s v="Hannah"/>
    <n v="10"/>
    <n v="1542"/>
    <x v="2"/>
    <n v="15420"/>
    <n v="10955.145169184691"/>
    <n v="4464.8548308153077"/>
  </r>
  <r>
    <d v="2024-09-29T00:00:00"/>
    <x v="2"/>
    <s v="Headphones"/>
    <s v="Eva"/>
    <n v="2"/>
    <n v="1877"/>
    <x v="0"/>
    <n v="3754"/>
    <n v="2845.597713552781"/>
    <n v="908.40228644721901"/>
  </r>
  <r>
    <d v="2024-04-13T00:00:00"/>
    <x v="0"/>
    <s v="Camera"/>
    <s v="Eva"/>
    <n v="9"/>
    <n v="1322"/>
    <x v="2"/>
    <n v="11898"/>
    <n v="10166.701552971939"/>
    <n v="1731.2984470280551"/>
  </r>
  <r>
    <d v="2024-10-25T00:00:00"/>
    <x v="0"/>
    <s v="Headphones"/>
    <s v="Alice"/>
    <n v="11"/>
    <n v="1586"/>
    <x v="0"/>
    <n v="17446"/>
    <n v="13228.05167778157"/>
    <n v="4217.9483222184299"/>
  </r>
  <r>
    <d v="2024-09-02T00:00:00"/>
    <x v="2"/>
    <s v="Smartwatch"/>
    <s v="Alice"/>
    <n v="4"/>
    <n v="536"/>
    <x v="0"/>
    <n v="2144"/>
    <n v="1495.088440784805"/>
    <n v="648.91155921519476"/>
  </r>
  <r>
    <d v="2024-06-24T00:00:00"/>
    <x v="2"/>
    <s v="Monitor"/>
    <s v="Eva"/>
    <n v="2"/>
    <n v="1433"/>
    <x v="1"/>
    <n v="2866"/>
    <n v="2169.9210899545519"/>
    <n v="696.07891004544808"/>
  </r>
  <r>
    <d v="2024-02-08T00:00:00"/>
    <x v="1"/>
    <s v="Printer"/>
    <s v="Frank"/>
    <n v="6"/>
    <n v="1719"/>
    <x v="1"/>
    <n v="10314"/>
    <n v="6541.4058617606543"/>
    <n v="3772.5941382393462"/>
  </r>
  <r>
    <d v="2024-06-18T00:00:00"/>
    <x v="1"/>
    <s v="Camera"/>
    <s v="Charlie"/>
    <n v="14"/>
    <n v="1877"/>
    <x v="2"/>
    <n v="26278"/>
    <n v="16791.696830882021"/>
    <n v="9486.3031691179822"/>
  </r>
  <r>
    <d v="2024-09-03T00:00:00"/>
    <x v="3"/>
    <s v="Camera"/>
    <s v="Eva"/>
    <n v="1"/>
    <n v="1404"/>
    <x v="2"/>
    <n v="1404"/>
    <n v="1134.7580925755581"/>
    <n v="269.24190742444239"/>
  </r>
  <r>
    <d v="2024-01-26T00:00:00"/>
    <x v="2"/>
    <s v="Printer"/>
    <s v="Alice"/>
    <n v="18"/>
    <n v="1446"/>
    <x v="1"/>
    <n v="26028"/>
    <n v="22780.699796147001"/>
    <n v="3247.300203853003"/>
  </r>
  <r>
    <d v="2024-12-20T00:00:00"/>
    <x v="1"/>
    <s v="Headphones"/>
    <s v="David"/>
    <n v="7"/>
    <n v="863"/>
    <x v="0"/>
    <n v="6041"/>
    <n v="4939.7464813212418"/>
    <n v="1101.2535186787579"/>
  </r>
  <r>
    <d v="2024-11-01T00:00:00"/>
    <x v="3"/>
    <s v="Smartwatch"/>
    <s v="Bob"/>
    <n v="1"/>
    <n v="801"/>
    <x v="0"/>
    <n v="801"/>
    <n v="498.52956172996289"/>
    <n v="302.47043827003711"/>
  </r>
  <r>
    <d v="2024-01-13T00:00:00"/>
    <x v="3"/>
    <s v="Tablet"/>
    <s v="Frank"/>
    <n v="1"/>
    <n v="1041"/>
    <x v="2"/>
    <n v="1041"/>
    <n v="750.42429932498305"/>
    <n v="290.57570067501689"/>
  </r>
  <r>
    <d v="2024-11-11T00:00:00"/>
    <x v="3"/>
    <s v="Printer"/>
    <s v="Grace"/>
    <n v="1"/>
    <n v="251"/>
    <x v="1"/>
    <n v="251"/>
    <n v="150.7922851965852"/>
    <n v="100.2077148034148"/>
  </r>
  <r>
    <d v="2024-11-08T00:00:00"/>
    <x v="1"/>
    <s v="Monitor"/>
    <s v="Frank"/>
    <n v="4"/>
    <n v="1425"/>
    <x v="1"/>
    <n v="5700"/>
    <n v="4294.1635310868323"/>
    <n v="1405.8364689131679"/>
  </r>
  <r>
    <d v="2024-02-05T00:00:00"/>
    <x v="2"/>
    <s v="Mobile"/>
    <s v="David"/>
    <n v="4"/>
    <n v="1401"/>
    <x v="2"/>
    <n v="5604"/>
    <n v="3687.2153799833691"/>
    <n v="1916.7846200166309"/>
  </r>
  <r>
    <d v="2024-06-21T00:00:00"/>
    <x v="0"/>
    <s v="Smartwatch"/>
    <s v="David"/>
    <n v="18"/>
    <n v="1774"/>
    <x v="0"/>
    <n v="31932"/>
    <n v="27475.69763616104"/>
    <n v="4456.3023638389604"/>
  </r>
  <r>
    <d v="2024-01-20T00:00:00"/>
    <x v="3"/>
    <s v="Printer"/>
    <s v="Grace"/>
    <n v="11"/>
    <n v="1811"/>
    <x v="1"/>
    <n v="19921"/>
    <n v="12576.1375764615"/>
    <n v="7344.8624235385032"/>
  </r>
  <r>
    <d v="2024-11-16T00:00:00"/>
    <x v="1"/>
    <s v="Printer"/>
    <s v="Hannah"/>
    <n v="1"/>
    <n v="1131"/>
    <x v="1"/>
    <n v="1131"/>
    <n v="679.08635216093739"/>
    <n v="451.91364783906261"/>
  </r>
  <r>
    <d v="2024-09-20T00:00:00"/>
    <x v="1"/>
    <s v="Camera"/>
    <s v="Alice"/>
    <n v="10"/>
    <n v="906"/>
    <x v="2"/>
    <n v="9060"/>
    <n v="6662.2149451832001"/>
    <n v="2397.7850548167999"/>
  </r>
  <r>
    <d v="2024-05-21T00:00:00"/>
    <x v="4"/>
    <m/>
    <s v="Eva"/>
    <n v="9"/>
    <n v="334"/>
    <x v="2"/>
    <n v="3006"/>
    <n v="1943.769753480231"/>
    <n v="1062.230246519769"/>
  </r>
  <r>
    <d v="2024-05-22T00:00:00"/>
    <x v="0"/>
    <s v="Mobile"/>
    <s v="Hannah"/>
    <n v="4"/>
    <n v="774"/>
    <x v="2"/>
    <n v="3096"/>
    <n v="2543.0417518571699"/>
    <n v="552.95824814283014"/>
  </r>
  <r>
    <d v="2024-04-01T00:00:00"/>
    <x v="1"/>
    <s v="Monitor"/>
    <s v="Charlie"/>
    <n v="6"/>
    <n v="660"/>
    <x v="1"/>
    <n v="3960"/>
    <n v="3468.882461356297"/>
    <n v="491.11753864370257"/>
  </r>
  <r>
    <d v="2024-12-19T00:00:00"/>
    <x v="2"/>
    <s v="Mobile"/>
    <m/>
    <n v="16"/>
    <n v="1425"/>
    <x v="2"/>
    <n v="22800"/>
    <n v="13966.856017829559"/>
    <n v="8833.1439821704407"/>
  </r>
  <r>
    <d v="2024-11-17T00:00:00"/>
    <x v="0"/>
    <s v="Printer"/>
    <s v="Grace"/>
    <n v="2"/>
    <n v="137"/>
    <x v="1"/>
    <n v="274"/>
    <n v="196.91684959950311"/>
    <n v="77.083150400496862"/>
  </r>
  <r>
    <d v="2024-10-14T00:00:00"/>
    <x v="1"/>
    <s v="Tablet"/>
    <s v="Frank"/>
    <n v="18"/>
    <n v="1259"/>
    <x v="2"/>
    <n v="22662"/>
    <n v="20374.146296315961"/>
    <n v="2287.8537036840389"/>
  </r>
  <r>
    <d v="2024-08-02T00:00:00"/>
    <x v="0"/>
    <s v="Laptop"/>
    <s v="Hannah"/>
    <n v="10"/>
    <n v="921"/>
    <x v="2"/>
    <n v="9210"/>
    <n v="7550.3726531118473"/>
    <n v="1659.6273468881529"/>
  </r>
  <r>
    <d v="2024-12-07T00:00:00"/>
    <x v="2"/>
    <s v="Headphones"/>
    <s v="David"/>
    <n v="17"/>
    <n v="520"/>
    <x v="0"/>
    <n v="8840"/>
    <n v="7831.8536311078014"/>
    <n v="1008.146368892199"/>
  </r>
  <r>
    <d v="2024-02-20T00:00:00"/>
    <x v="3"/>
    <s v="Laptop"/>
    <s v="Eva"/>
    <n v="13"/>
    <n v="1342"/>
    <x v="2"/>
    <n v="17446"/>
    <n v="11326.379098164311"/>
    <n v="6119.6209018356858"/>
  </r>
  <r>
    <d v="2024-06-01T00:00:00"/>
    <x v="0"/>
    <s v="Printer"/>
    <s v="Frank"/>
    <n v="18"/>
    <n v="447"/>
    <x v="1"/>
    <n v="8046"/>
    <n v="5361.9394289016773"/>
    <n v="2684.0605710983232"/>
  </r>
  <r>
    <d v="2024-07-04T00:00:00"/>
    <x v="4"/>
    <s v="Laptop"/>
    <s v="Charlie"/>
    <n v="13"/>
    <n v="1931"/>
    <x v="2"/>
    <n v="25103"/>
    <n v="16227.667971810641"/>
    <n v="8875.332028189363"/>
  </r>
  <r>
    <d v="2024-03-03T00:00:00"/>
    <x v="1"/>
    <s v="Printer"/>
    <s v="David"/>
    <n v="17"/>
    <n v="1669"/>
    <x v="1"/>
    <n v="28373"/>
    <n v="19597.53497859741"/>
    <n v="8775.4650214025896"/>
  </r>
  <r>
    <d v="2024-07-08T00:00:00"/>
    <x v="0"/>
    <s v="Laptop"/>
    <s v="Charlie"/>
    <n v="5"/>
    <n v="1987"/>
    <x v="2"/>
    <n v="9935"/>
    <n v="8120.0267156547388"/>
    <n v="1814.9732843452609"/>
  </r>
  <r>
    <d v="2024-05-04T00:00:00"/>
    <x v="0"/>
    <s v="Mobile"/>
    <s v="Eva"/>
    <n v="11"/>
    <n v="1202"/>
    <x v="2"/>
    <n v="13222"/>
    <n v="8587.4774245634289"/>
    <n v="4634.5225754365711"/>
  </r>
  <r>
    <d v="2024-05-29T00:00:00"/>
    <x v="1"/>
    <s v="Smartwatch"/>
    <s v="Frank"/>
    <n v="7"/>
    <n v="847"/>
    <x v="0"/>
    <n v="5929"/>
    <n v="4489.8550831830053"/>
    <n v="1439.144916816995"/>
  </r>
  <r>
    <d v="2024-11-09T00:00:00"/>
    <x v="3"/>
    <s v="Mobile"/>
    <s v="Bob"/>
    <n v="10"/>
    <n v="372"/>
    <x v="2"/>
    <n v="3720"/>
    <n v="2532.4382697316678"/>
    <n v="1187.561730268332"/>
  </r>
  <r>
    <d v="2024-02-27T00:00:00"/>
    <x v="1"/>
    <s v="Mobile"/>
    <s v="Hannah"/>
    <n v="17"/>
    <n v="1284"/>
    <x v="2"/>
    <n v="21828"/>
    <n v="18526.705640100179"/>
    <n v="3301.294359899824"/>
  </r>
  <r>
    <d v="2024-12-07T00:00:00"/>
    <x v="0"/>
    <s v="Monitor"/>
    <s v="Frank"/>
    <n v="15"/>
    <m/>
    <x v="1"/>
    <m/>
    <m/>
    <m/>
  </r>
  <r>
    <d v="2024-10-31T00:00:00"/>
    <x v="1"/>
    <s v="Camera"/>
    <s v="Hannah"/>
    <n v="18"/>
    <n v="407"/>
    <x v="2"/>
    <n v="7326"/>
    <n v="4885.9620558762817"/>
    <n v="2440.0379441237178"/>
  </r>
  <r>
    <d v="2024-06-28T00:00:00"/>
    <x v="2"/>
    <s v="Camera"/>
    <s v="Eva"/>
    <n v="19"/>
    <n v="1497"/>
    <x v="2"/>
    <n v="28443"/>
    <n v="22230.258860287671"/>
    <n v="6212.7411397123287"/>
  </r>
  <r>
    <d v="2024-06-18T00:00:00"/>
    <x v="1"/>
    <s v="Laptop"/>
    <s v="Frank"/>
    <n v="2"/>
    <n v="1075"/>
    <x v="2"/>
    <n v="2150"/>
    <n v="1352.378273773129"/>
    <n v="797.62172622687149"/>
  </r>
  <r>
    <d v="2024-11-21T00:00:00"/>
    <x v="0"/>
    <s v="Printer"/>
    <s v="Hannah"/>
    <n v="4"/>
    <n v="832"/>
    <x v="1"/>
    <n v="3328"/>
    <n v="2462.3661164004761"/>
    <n v="865.63388359952432"/>
  </r>
  <r>
    <d v="2024-09-27T00:00:00"/>
    <x v="1"/>
    <s v="Monitor"/>
    <s v="Grace"/>
    <n v="3"/>
    <n v="1132"/>
    <x v="1"/>
    <n v="3396"/>
    <n v="2482.0079936562379"/>
    <n v="913.99200634376166"/>
  </r>
  <r>
    <d v="2024-02-23T00:00:00"/>
    <x v="3"/>
    <s v="Mobile"/>
    <s v="Hannah"/>
    <n v="7"/>
    <n v="1924"/>
    <x v="2"/>
    <n v="13468"/>
    <n v="11525.33395676265"/>
    <n v="1942.666043237346"/>
  </r>
  <r>
    <d v="2024-04-10T00:00:00"/>
    <x v="1"/>
    <s v="Monitor"/>
    <s v="Frank"/>
    <n v="18"/>
    <n v="543"/>
    <x v="1"/>
    <n v="9774"/>
    <n v="7698.1896498037304"/>
    <n v="2075.8103501962701"/>
  </r>
  <r>
    <d v="2024-09-20T00:00:00"/>
    <x v="3"/>
    <s v="Laptop"/>
    <s v="Alice"/>
    <n v="10"/>
    <n v="1236"/>
    <x v="2"/>
    <n v="12360"/>
    <n v="9788.015246485953"/>
    <n v="2571.984753514047"/>
  </r>
  <r>
    <d v="2024-02-22T00:00:00"/>
    <x v="2"/>
    <s v="Camera"/>
    <s v="Frank"/>
    <n v="7"/>
    <n v="1328"/>
    <x v="2"/>
    <n v="9296"/>
    <n v="8232.0010398696268"/>
    <n v="1063.998960130373"/>
  </r>
  <r>
    <d v="2024-02-29T00:00:00"/>
    <x v="3"/>
    <s v="Smartwatch"/>
    <s v="Frank"/>
    <n v="8"/>
    <n v="504"/>
    <x v="0"/>
    <n v="4032"/>
    <n v="3607.4631099911539"/>
    <n v="424.5368900088456"/>
  </r>
  <r>
    <d v="2024-04-17T00:00:00"/>
    <x v="1"/>
    <s v="Headphones"/>
    <s v="Hannah"/>
    <n v="6"/>
    <n v="1821"/>
    <x v="0"/>
    <n v="10926"/>
    <n v="8697.297253050574"/>
    <n v="2228.702746949426"/>
  </r>
  <r>
    <d v="2024-01-05T00:00:00"/>
    <x v="0"/>
    <s v="Laptop"/>
    <s v="Charlie"/>
    <n v="1"/>
    <n v="952"/>
    <x v="2"/>
    <n v="952"/>
    <n v="720.28361416342671"/>
    <n v="231.71638583657329"/>
  </r>
  <r>
    <d v="2024-04-12T00:00:00"/>
    <x v="3"/>
    <s v="Monitor"/>
    <s v="Bob"/>
    <n v="4"/>
    <n v="1320"/>
    <x v="1"/>
    <n v="5280"/>
    <n v="4130.9453726083693"/>
    <n v="1149.0546273916309"/>
  </r>
  <r>
    <d v="2024-07-14T00:00:00"/>
    <x v="2"/>
    <s v="Smartwatch"/>
    <s v="Charlie"/>
    <n v="14"/>
    <n v="877"/>
    <x v="0"/>
    <n v="12278"/>
    <n v="8775.4931431964942"/>
    <n v="3502.5068568035058"/>
  </r>
  <r>
    <d v="2024-09-18T00:00:00"/>
    <x v="3"/>
    <s v="Headphones"/>
    <s v="Hannah"/>
    <n v="17"/>
    <n v="1897"/>
    <x v="0"/>
    <n v="32249"/>
    <n v="28902.746532103662"/>
    <n v="3346.253467896342"/>
  </r>
  <r>
    <d v="2024-12-30T00:00:00"/>
    <x v="3"/>
    <s v="Tablet"/>
    <s v="Charlie"/>
    <n v="18"/>
    <n v="1883"/>
    <x v="2"/>
    <n v="33894"/>
    <n v="27505.197170815962"/>
    <n v="6388.8028291840383"/>
  </r>
  <r>
    <d v="2024-12-15T00:00:00"/>
    <x v="3"/>
    <s v="Laptop"/>
    <s v="David"/>
    <n v="11"/>
    <n v="214"/>
    <x v="2"/>
    <n v="2354"/>
    <n v="1617.9089981905661"/>
    <n v="736.09100180943392"/>
  </r>
  <r>
    <d v="2024-02-16T00:00:00"/>
    <x v="2"/>
    <s v="Laptop"/>
    <s v="Alice"/>
    <n v="14"/>
    <n v="1244"/>
    <x v="2"/>
    <n v="17416"/>
    <n v="10751.417358869259"/>
    <n v="6664.5826411307371"/>
  </r>
  <r>
    <d v="2024-12-20T00:00:00"/>
    <x v="1"/>
    <s v="Tablet"/>
    <s v="Charlie"/>
    <n v="9"/>
    <n v="1776"/>
    <x v="2"/>
    <n v="15984"/>
    <n v="9804.850594669515"/>
    <n v="6179.149405330485"/>
  </r>
  <r>
    <d v="2024-11-06T00:00:00"/>
    <x v="3"/>
    <s v="Tablet"/>
    <s v="Grace"/>
    <n v="15"/>
    <n v="164"/>
    <x v="2"/>
    <n v="2460"/>
    <n v="1627.225779628586"/>
    <n v="832.774220371414"/>
  </r>
  <r>
    <d v="2024-11-03T00:00:00"/>
    <x v="3"/>
    <s v="Laptop"/>
    <s v="Eva"/>
    <n v="12"/>
    <n v="1399"/>
    <x v="2"/>
    <n v="16788"/>
    <n v="11245.843306440371"/>
    <n v="5542.1566935596265"/>
  </r>
  <r>
    <d v="2024-05-23T00:00:00"/>
    <x v="0"/>
    <s v="Tablet"/>
    <s v="Grace"/>
    <n v="10"/>
    <n v="924"/>
    <x v="2"/>
    <n v="9240"/>
    <n v="6694.5061092402111"/>
    <n v="2545.4938907597889"/>
  </r>
  <r>
    <d v="2024-09-25T00:00:00"/>
    <x v="2"/>
    <s v="Mobile"/>
    <s v="Eva"/>
    <n v="19"/>
    <n v="338"/>
    <x v="2"/>
    <n v="6422"/>
    <n v="4267.1223260184061"/>
    <n v="2154.8776739815939"/>
  </r>
  <r>
    <d v="2024-05-03T00:00:00"/>
    <x v="3"/>
    <s v="Headphones"/>
    <m/>
    <n v="19"/>
    <n v="401"/>
    <x v="0"/>
    <n v="7619"/>
    <n v="6013.4719718206889"/>
    <n v="1605.5280281793109"/>
  </r>
  <r>
    <d v="2024-04-15T00:00:00"/>
    <x v="2"/>
    <s v="Headphones"/>
    <s v="David"/>
    <n v="6"/>
    <m/>
    <x v="0"/>
    <m/>
    <m/>
    <m/>
  </r>
  <r>
    <d v="2024-06-06T00:00:00"/>
    <x v="3"/>
    <s v="Headphones"/>
    <s v="Alice"/>
    <n v="6"/>
    <n v="1645"/>
    <x v="0"/>
    <n v="9870"/>
    <n v="6478.3024318047328"/>
    <n v="3391.6975681952672"/>
  </r>
  <r>
    <d v="2024-05-26T00:00:00"/>
    <x v="1"/>
    <s v="Mobile"/>
    <s v="Grace"/>
    <n v="8"/>
    <n v="1068"/>
    <x v="2"/>
    <n v="8544"/>
    <n v="6334.2746599459078"/>
    <n v="2209.7253400540922"/>
  </r>
  <r>
    <d v="2024-05-24T00:00:00"/>
    <x v="1"/>
    <s v="Printer"/>
    <s v="Alice"/>
    <n v="1"/>
    <n v="468"/>
    <x v="1"/>
    <n v="468"/>
    <n v="405.56907134506417"/>
    <n v="62.430928654935833"/>
  </r>
  <r>
    <d v="2024-04-29T00:00:00"/>
    <x v="3"/>
    <s v="Tablet"/>
    <s v="Grace"/>
    <n v="17"/>
    <n v="332"/>
    <x v="2"/>
    <n v="5644"/>
    <n v="4179.3348512295033"/>
    <n v="1464.6651487704969"/>
  </r>
  <r>
    <d v="2024-11-14T00:00:00"/>
    <x v="1"/>
    <s v="Smartwatch"/>
    <s v="Frank"/>
    <n v="17"/>
    <n v="294"/>
    <x v="0"/>
    <n v="4998"/>
    <n v="3619.3248076115069"/>
    <n v="1378.6751923884931"/>
  </r>
  <r>
    <d v="2024-10-01T00:00:00"/>
    <x v="3"/>
    <s v="Tablet"/>
    <s v="Eva"/>
    <n v="15"/>
    <n v="1006"/>
    <x v="2"/>
    <n v="15090"/>
    <n v="11671.0356460701"/>
    <n v="3418.9643539298982"/>
  </r>
  <r>
    <d v="2024-04-01T00:00:00"/>
    <x v="1"/>
    <s v="Laptop"/>
    <s v="Bob"/>
    <n v="7"/>
    <n v="1135"/>
    <x v="2"/>
    <n v="7945"/>
    <n v="5380.0688033045062"/>
    <n v="2564.9311966954938"/>
  </r>
  <r>
    <d v="2024-02-27T00:00:00"/>
    <x v="0"/>
    <s v="Camera"/>
    <s v="David"/>
    <n v="19"/>
    <n v="1020"/>
    <x v="2"/>
    <n v="19380"/>
    <n v="13682.88012780739"/>
    <n v="5697.1198721926139"/>
  </r>
  <r>
    <d v="2024-12-11T00:00:00"/>
    <x v="0"/>
    <s v="Monitor"/>
    <s v="Grace"/>
    <n v="3"/>
    <n v="788"/>
    <x v="1"/>
    <n v="2364"/>
    <n v="1570.0519633191291"/>
    <n v="793.94803668087093"/>
  </r>
  <r>
    <d v="2024-08-16T00:00:00"/>
    <x v="0"/>
    <s v="Monitor"/>
    <s v="Grace"/>
    <n v="11"/>
    <m/>
    <x v="1"/>
    <m/>
    <m/>
    <m/>
  </r>
  <r>
    <d v="2024-04-26T00:00:00"/>
    <x v="2"/>
    <s v="Headphones"/>
    <s v="Frank"/>
    <n v="19"/>
    <n v="316"/>
    <x v="0"/>
    <n v="6004"/>
    <n v="4858.5344758984711"/>
    <n v="1145.4655241015289"/>
  </r>
  <r>
    <d v="2024-11-13T00:00:00"/>
    <x v="2"/>
    <s v="Tablet"/>
    <s v="David"/>
    <m/>
    <n v="1134"/>
    <x v="2"/>
    <m/>
    <m/>
    <m/>
  </r>
  <r>
    <d v="2024-10-05T00:00:00"/>
    <x v="0"/>
    <s v="Smartwatch"/>
    <s v="Eva"/>
    <n v="10"/>
    <n v="1569"/>
    <x v="0"/>
    <n v="15690"/>
    <n v="10613.427469160129"/>
    <n v="5076.5725308398651"/>
  </r>
  <r>
    <d v="2024-05-06T00:00:00"/>
    <x v="2"/>
    <s v="Laptop"/>
    <s v="Eva"/>
    <n v="2"/>
    <n v="729"/>
    <x v="2"/>
    <n v="1458"/>
    <n v="1215.818125194161"/>
    <n v="242.18187480583919"/>
  </r>
  <r>
    <d v="2024-05-08T00:00:00"/>
    <x v="1"/>
    <s v="Mobile"/>
    <s v="Grace"/>
    <m/>
    <n v="263"/>
    <x v="2"/>
    <m/>
    <m/>
    <m/>
  </r>
  <r>
    <d v="2024-02-27T00:00:00"/>
    <x v="3"/>
    <s v="Printer"/>
    <s v="Bob"/>
    <n v="16"/>
    <n v="1674"/>
    <x v="1"/>
    <n v="26784"/>
    <n v="17278.183376746729"/>
    <n v="9505.8166232532712"/>
  </r>
  <r>
    <d v="2024-05-01T00:00:00"/>
    <x v="3"/>
    <s v="Mobile"/>
    <s v="Bob"/>
    <n v="18"/>
    <n v="152"/>
    <x v="2"/>
    <n v="2736"/>
    <n v="1928.723020922449"/>
    <n v="807.27697907755078"/>
  </r>
  <r>
    <d v="2024-01-01T00:00:00"/>
    <x v="4"/>
    <s v="Smartwatch"/>
    <s v="Alice"/>
    <m/>
    <n v="317"/>
    <x v="0"/>
    <m/>
    <m/>
    <m/>
  </r>
  <r>
    <d v="2024-08-26T00:00:00"/>
    <x v="0"/>
    <s v="Laptop"/>
    <s v="David"/>
    <n v="6"/>
    <n v="1841"/>
    <x v="2"/>
    <n v="11046"/>
    <n v="7098.1656271540141"/>
    <n v="3947.8343728459859"/>
  </r>
  <r>
    <d v="2024-10-16T00:00:00"/>
    <x v="2"/>
    <s v="Headphones"/>
    <s v="David"/>
    <n v="14"/>
    <n v="1098"/>
    <x v="0"/>
    <n v="15372"/>
    <n v="12211.918526199361"/>
    <n v="3160.0814738006429"/>
  </r>
  <r>
    <d v="2024-04-05T00:00:00"/>
    <x v="1"/>
    <s v="Tablet"/>
    <s v="Eva"/>
    <n v="15"/>
    <n v="923"/>
    <x v="2"/>
    <n v="13845"/>
    <n v="11891.752922438871"/>
    <n v="1953.247077561125"/>
  </r>
  <r>
    <d v="2024-05-05T00:00:00"/>
    <x v="1"/>
    <s v="Laptop"/>
    <s v="Alice"/>
    <n v="14"/>
    <n v="1483"/>
    <x v="2"/>
    <n v="20762"/>
    <n v="14283.05498219342"/>
    <n v="6478.9450178065817"/>
  </r>
  <r>
    <d v="2024-04-27T00:00:00"/>
    <x v="0"/>
    <s v="Monitor"/>
    <s v="Frank"/>
    <n v="3"/>
    <n v="484"/>
    <x v="1"/>
    <n v="1452"/>
    <n v="1067.3100019797459"/>
    <n v="384.68999802025382"/>
  </r>
  <r>
    <d v="2024-02-17T00:00:00"/>
    <x v="1"/>
    <s v="Printer"/>
    <s v="David"/>
    <n v="19"/>
    <n v="155"/>
    <x v="1"/>
    <n v="2945"/>
    <n v="1968.7122610398451"/>
    <n v="976.28773896015514"/>
  </r>
  <r>
    <d v="2024-03-29T00:00:00"/>
    <x v="1"/>
    <s v="Mobile"/>
    <s v="Alice"/>
    <n v="12"/>
    <n v="217"/>
    <x v="2"/>
    <n v="2604"/>
    <n v="1844.617662749793"/>
    <n v="759.38233725020746"/>
  </r>
  <r>
    <d v="2024-08-24T00:00:00"/>
    <x v="1"/>
    <s v="Printer"/>
    <s v="Alice"/>
    <n v="2"/>
    <n v="999"/>
    <x v="1"/>
    <n v="1998"/>
    <n v="1211.969160139023"/>
    <n v="786.03083986097704"/>
  </r>
  <r>
    <d v="2024-09-28T00:00:00"/>
    <x v="1"/>
    <s v="Printer"/>
    <s v="Grace"/>
    <n v="3"/>
    <n v="1376"/>
    <x v="1"/>
    <n v="4128"/>
    <n v="3657.9480202699651"/>
    <n v="470.05197973003487"/>
  </r>
  <r>
    <d v="2024-07-07T00:00:00"/>
    <x v="2"/>
    <s v="Smartwatch"/>
    <s v="Eva"/>
    <n v="18"/>
    <n v="897"/>
    <x v="0"/>
    <n v="16146"/>
    <n v="11702.08901475723"/>
    <n v="4443.91098524277"/>
  </r>
  <r>
    <d v="2024-07-10T00:00:00"/>
    <x v="1"/>
    <s v="Smartwatch"/>
    <s v="Alice"/>
    <n v="1"/>
    <n v="879"/>
    <x v="0"/>
    <n v="879"/>
    <n v="735.42504795902778"/>
    <n v="143.57495204097219"/>
  </r>
  <r>
    <d v="2024-03-09T00:00:00"/>
    <x v="3"/>
    <s v="Tablet"/>
    <s v="Hannah"/>
    <n v="6"/>
    <n v="1115"/>
    <x v="2"/>
    <n v="6690"/>
    <n v="4300.2853787745144"/>
    <n v="2389.7146212254861"/>
  </r>
  <r>
    <d v="2024-10-04T00:00:00"/>
    <x v="0"/>
    <s v="Smartwatch"/>
    <s v="Bob"/>
    <m/>
    <n v="902"/>
    <x v="0"/>
    <m/>
    <m/>
    <m/>
  </r>
  <r>
    <d v="2024-12-14T00:00:00"/>
    <x v="2"/>
    <s v="Smartwatch"/>
    <s v="Hannah"/>
    <n v="1"/>
    <n v="944"/>
    <x v="0"/>
    <n v="944"/>
    <n v="809.99371846449537"/>
    <n v="134.0062815355046"/>
  </r>
  <r>
    <d v="2024-09-03T00:00:00"/>
    <x v="1"/>
    <s v="Laptop"/>
    <s v="Bob"/>
    <n v="19"/>
    <n v="1303"/>
    <x v="2"/>
    <n v="24757"/>
    <n v="20168.120182476261"/>
    <n v="4588.8798175237389"/>
  </r>
  <r>
    <d v="2024-03-16T00:00:00"/>
    <x v="2"/>
    <s v="Monitor"/>
    <s v="Charlie"/>
    <n v="1"/>
    <n v="1538"/>
    <x v="1"/>
    <n v="1538"/>
    <n v="1339.5403211473431"/>
    <n v="198.45967885265671"/>
  </r>
  <r>
    <d v="2024-06-02T00:00:00"/>
    <x v="1"/>
    <s v="Headphones"/>
    <s v="Eva"/>
    <n v="16"/>
    <n v="1993"/>
    <x v="0"/>
    <n v="31888"/>
    <n v="20732.274619343982"/>
    <n v="11155.72538065602"/>
  </r>
  <r>
    <d v="2024-05-23T00:00:00"/>
    <x v="3"/>
    <s v="Tablet"/>
    <s v="Grace"/>
    <n v="12"/>
    <n v="1358"/>
    <x v="2"/>
    <n v="16296"/>
    <n v="12107.024364581799"/>
    <n v="4188.9756354181955"/>
  </r>
  <r>
    <d v="2024-03-26T00:00:00"/>
    <x v="0"/>
    <s v="Laptop"/>
    <s v="Frank"/>
    <n v="8"/>
    <n v="954"/>
    <x v="2"/>
    <n v="7632"/>
    <n v="5999.0027845041932"/>
    <n v="1632.997215495807"/>
  </r>
  <r>
    <d v="2024-07-03T00:00:00"/>
    <x v="1"/>
    <s v="Headphones"/>
    <s v="Hannah"/>
    <n v="16"/>
    <m/>
    <x v="0"/>
    <m/>
    <m/>
    <m/>
  </r>
  <r>
    <d v="2024-10-11T00:00:00"/>
    <x v="1"/>
    <m/>
    <s v="Hannah"/>
    <n v="1"/>
    <n v="1943"/>
    <x v="1"/>
    <n v="1943"/>
    <n v="1667.7007607353789"/>
    <n v="275.29923926462061"/>
  </r>
  <r>
    <d v="2024-08-07T00:00:00"/>
    <x v="1"/>
    <s v="Laptop"/>
    <s v="Charlie"/>
    <n v="4"/>
    <n v="1203"/>
    <x v="2"/>
    <n v="4812"/>
    <n v="3198.572058805657"/>
    <n v="1613.427941194343"/>
  </r>
  <r>
    <d v="2024-03-09T00:00:00"/>
    <x v="1"/>
    <s v="Camera"/>
    <s v="Bob"/>
    <n v="10"/>
    <n v="1770"/>
    <x v="2"/>
    <n v="17700"/>
    <n v="11552.66875078138"/>
    <n v="6147.3312492186196"/>
  </r>
  <r>
    <d v="2024-02-16T00:00:00"/>
    <x v="0"/>
    <s v="Laptop"/>
    <s v="Grace"/>
    <n v="11"/>
    <n v="121"/>
    <x v="2"/>
    <n v="1331"/>
    <n v="899.77407292678004"/>
    <n v="431.22592707322002"/>
  </r>
  <r>
    <d v="2024-04-03T00:00:00"/>
    <x v="0"/>
    <s v="Smartwatch"/>
    <s v="Charlie"/>
    <n v="17"/>
    <n v="1600"/>
    <x v="0"/>
    <n v="27200"/>
    <n v="23595.048403209021"/>
    <n v="3604.9515967909761"/>
  </r>
  <r>
    <d v="2024-08-25T00:00:00"/>
    <x v="3"/>
    <s v="Headphones"/>
    <s v="Eva"/>
    <n v="7"/>
    <n v="942"/>
    <x v="0"/>
    <n v="6594"/>
    <n v="5817.939774913214"/>
    <n v="776.06022508678598"/>
  </r>
  <r>
    <d v="2024-07-22T00:00:00"/>
    <x v="0"/>
    <s v="Tablet"/>
    <s v="Grace"/>
    <n v="12"/>
    <n v="1563"/>
    <x v="2"/>
    <n v="18756"/>
    <n v="14458.79467070642"/>
    <n v="4297.2053292935798"/>
  </r>
  <r>
    <d v="2024-08-05T00:00:00"/>
    <x v="1"/>
    <s v="Tablet"/>
    <s v="Eva"/>
    <n v="7"/>
    <n v="1860"/>
    <x v="2"/>
    <n v="13020"/>
    <n v="9770.3587764324511"/>
    <n v="3249.6412235675489"/>
  </r>
  <r>
    <d v="2024-12-06T00:00:00"/>
    <x v="3"/>
    <s v="Headphones"/>
    <s v="Alice"/>
    <n v="12"/>
    <n v="1693"/>
    <x v="0"/>
    <n v="20316"/>
    <n v="15879.304203715539"/>
    <n v="4436.6957962844608"/>
  </r>
  <r>
    <d v="2024-02-08T00:00:00"/>
    <x v="3"/>
    <s v="Smartwatch"/>
    <s v="David"/>
    <n v="15"/>
    <n v="1216"/>
    <x v="0"/>
    <n v="18240"/>
    <n v="14316.435459961111"/>
    <n v="3923.5645400388889"/>
  </r>
  <r>
    <d v="2024-04-09T00:00:00"/>
    <x v="3"/>
    <s v="Mobile"/>
    <s v="Alice"/>
    <n v="2"/>
    <n v="291"/>
    <x v="2"/>
    <n v="582"/>
    <n v="378.93520148313428"/>
    <n v="203.06479851686569"/>
  </r>
  <r>
    <d v="2024-10-15T00:00:00"/>
    <x v="1"/>
    <s v="Laptop"/>
    <s v="Eva"/>
    <n v="14"/>
    <n v="1118"/>
    <x v="2"/>
    <n v="15652"/>
    <n v="12614.31093574957"/>
    <n v="3037.68906425043"/>
  </r>
  <r>
    <d v="2024-09-10T00:00:00"/>
    <x v="2"/>
    <s v="Smartwatch"/>
    <s v="Hannah"/>
    <n v="13"/>
    <n v="1226"/>
    <x v="0"/>
    <n v="15938"/>
    <n v="11725.67156076876"/>
    <n v="4212.328439231238"/>
  </r>
  <r>
    <d v="2024-08-09T00:00:00"/>
    <x v="1"/>
    <s v="Camera"/>
    <m/>
    <n v="4"/>
    <n v="495"/>
    <x v="2"/>
    <n v="1980"/>
    <n v="1495.324883555739"/>
    <n v="484.67511644426122"/>
  </r>
  <r>
    <d v="2024-12-22T00:00:00"/>
    <x v="0"/>
    <s v="Monitor"/>
    <s v="Bob"/>
    <n v="14"/>
    <n v="1130"/>
    <x v="1"/>
    <n v="15820"/>
    <n v="9635.882604174647"/>
    <n v="6184.117395825353"/>
  </r>
  <r>
    <d v="2024-01-23T00:00:00"/>
    <x v="0"/>
    <s v="Printer"/>
    <s v="Frank"/>
    <n v="14"/>
    <n v="739"/>
    <x v="1"/>
    <n v="10346"/>
    <n v="8580.6308760498123"/>
    <n v="1765.3691239501879"/>
  </r>
  <r>
    <d v="2024-09-06T00:00:00"/>
    <x v="1"/>
    <m/>
    <s v="Bob"/>
    <n v="16"/>
    <n v="1118"/>
    <x v="0"/>
    <n v="17888"/>
    <n v="15216.04061134796"/>
    <n v="2671.9593886520402"/>
  </r>
  <r>
    <d v="2024-01-10T00:00:00"/>
    <x v="1"/>
    <s v="Monitor"/>
    <s v="Grace"/>
    <n v="7"/>
    <n v="666"/>
    <x v="1"/>
    <n v="4662"/>
    <n v="3663.5229853328569"/>
    <n v="998.47701466714307"/>
  </r>
  <r>
    <d v="2024-09-02T00:00:00"/>
    <x v="3"/>
    <s v="Laptop"/>
    <s v="Alice"/>
    <n v="19"/>
    <n v="330"/>
    <x v="2"/>
    <n v="6270"/>
    <n v="5170.3491579930223"/>
    <n v="1099.6508420069781"/>
  </r>
  <r>
    <d v="2024-11-20T00:00:00"/>
    <x v="1"/>
    <s v="Tablet"/>
    <s v="Frank"/>
    <n v="2"/>
    <n v="973"/>
    <x v="2"/>
    <n v="1946"/>
    <n v="1472.7557646518731"/>
    <n v="473.24423534812689"/>
  </r>
  <r>
    <d v="2024-04-09T00:00:00"/>
    <x v="3"/>
    <s v="Printer"/>
    <m/>
    <n v="10"/>
    <n v="673"/>
    <x v="1"/>
    <n v="6730"/>
    <n v="5286.4554721577033"/>
    <n v="1443.5445278422969"/>
  </r>
  <r>
    <d v="2024-10-16T00:00:00"/>
    <x v="0"/>
    <s v="Monitor"/>
    <s v="Eva"/>
    <n v="18"/>
    <n v="339"/>
    <x v="1"/>
    <n v="6102"/>
    <n v="4383.502951206804"/>
    <n v="1718.497048793196"/>
  </r>
  <r>
    <d v="2024-06-28T00:00:00"/>
    <x v="3"/>
    <m/>
    <s v="Hannah"/>
    <n v="17"/>
    <n v="189"/>
    <x v="2"/>
    <n v="3213"/>
    <n v="2691.087604093756"/>
    <n v="521.912395906244"/>
  </r>
  <r>
    <d v="2024-08-10T00:00:00"/>
    <x v="1"/>
    <s v="Monitor"/>
    <s v="Bob"/>
    <n v="5"/>
    <n v="331"/>
    <x v="1"/>
    <n v="1655"/>
    <n v="1225.496516876321"/>
    <n v="429.50348312367942"/>
  </r>
  <r>
    <d v="2024-09-06T00:00:00"/>
    <x v="0"/>
    <s v="Camera"/>
    <s v="Eva"/>
    <n v="12"/>
    <n v="556"/>
    <x v="2"/>
    <n v="6672"/>
    <n v="5364.7141494848356"/>
    <n v="1307.2858505151639"/>
  </r>
  <r>
    <d v="2024-05-26T00:00:00"/>
    <x v="2"/>
    <s v="Tablet"/>
    <s v="Frank"/>
    <n v="6"/>
    <n v="332"/>
    <x v="2"/>
    <n v="1992"/>
    <n v="1566.5661966630159"/>
    <n v="425.43380333698411"/>
  </r>
  <r>
    <d v="2024-04-05T00:00:00"/>
    <x v="3"/>
    <s v="Headphones"/>
    <s v="Frank"/>
    <n v="9"/>
    <n v="453"/>
    <x v="0"/>
    <n v="4077"/>
    <n v="3305.2008874376102"/>
    <n v="771.79911256238984"/>
  </r>
  <r>
    <d v="2024-09-13T00:00:00"/>
    <x v="0"/>
    <s v="Laptop"/>
    <s v="Bob"/>
    <n v="1"/>
    <n v="1104"/>
    <x v="2"/>
    <n v="1104"/>
    <n v="922.46349784147401"/>
    <n v="181.53650215852599"/>
  </r>
  <r>
    <d v="2024-11-20T00:00:00"/>
    <x v="3"/>
    <s v="Headphones"/>
    <s v="Eva"/>
    <n v="15"/>
    <n v="1456"/>
    <x v="0"/>
    <n v="21840"/>
    <n v="16463.29873139731"/>
    <n v="5376.7012686026937"/>
  </r>
  <r>
    <d v="2024-01-04T00:00:00"/>
    <x v="0"/>
    <s v="Printer"/>
    <s v="Charlie"/>
    <n v="6"/>
    <n v="538"/>
    <x v="1"/>
    <n v="3228"/>
    <n v="2724.17306525919"/>
    <n v="503.82693474081037"/>
  </r>
  <r>
    <d v="2024-01-16T00:00:00"/>
    <x v="0"/>
    <s v="Laptop"/>
    <s v="Eva"/>
    <n v="19"/>
    <n v="1498"/>
    <x v="2"/>
    <n v="28462"/>
    <n v="21323.08064616736"/>
    <n v="7138.9193538326363"/>
  </r>
  <r>
    <d v="2024-10-06T00:00:00"/>
    <x v="3"/>
    <s v="Smartwatch"/>
    <s v="Frank"/>
    <n v="18"/>
    <m/>
    <x v="0"/>
    <m/>
    <m/>
    <m/>
  </r>
  <r>
    <d v="2024-12-01T00:00:00"/>
    <x v="2"/>
    <s v="Mobile"/>
    <m/>
    <n v="6"/>
    <n v="444"/>
    <x v="2"/>
    <n v="2664"/>
    <n v="2199.9352614929439"/>
    <n v="464.06473850705612"/>
  </r>
  <r>
    <d v="2024-09-03T00:00:00"/>
    <x v="0"/>
    <s v="Smartwatch"/>
    <s v="Hannah"/>
    <n v="13"/>
    <n v="763"/>
    <x v="0"/>
    <n v="9919"/>
    <n v="6460.6662071493629"/>
    <n v="3458.3337928506371"/>
  </r>
  <r>
    <d v="2024-09-14T00:00:00"/>
    <x v="0"/>
    <s v="Smartwatch"/>
    <s v="Grace"/>
    <n v="1"/>
    <n v="1551"/>
    <x v="0"/>
    <n v="1551"/>
    <n v="1316.605654525405"/>
    <n v="234.39434547459541"/>
  </r>
  <r>
    <d v="2024-06-08T00:00:00"/>
    <x v="0"/>
    <s v="Headphones"/>
    <s v="Alice"/>
    <n v="13"/>
    <n v="756"/>
    <x v="0"/>
    <n v="9828"/>
    <n v="7523.1010591222803"/>
    <n v="2304.8989408777202"/>
  </r>
  <r>
    <d v="2024-12-05T00:00:00"/>
    <x v="2"/>
    <s v="Printer"/>
    <s v="Hannah"/>
    <n v="7"/>
    <n v="229"/>
    <x v="1"/>
    <n v="1603"/>
    <n v="1435.2272746896319"/>
    <n v="167.77272531036809"/>
  </r>
  <r>
    <d v="2024-05-31T00:00:00"/>
    <x v="2"/>
    <s v="Mobile"/>
    <s v="Charlie"/>
    <n v="15"/>
    <n v="240"/>
    <x v="2"/>
    <n v="3600"/>
    <n v="2936.3245671674099"/>
    <n v="663.6754328325901"/>
  </r>
  <r>
    <d v="2024-06-26T00:00:00"/>
    <x v="1"/>
    <s v="Monitor"/>
    <s v="David"/>
    <n v="12"/>
    <n v="514"/>
    <x v="1"/>
    <n v="6168"/>
    <n v="3856.9566374534811"/>
    <n v="2311.0433625465189"/>
  </r>
  <r>
    <d v="2024-06-11T00:00:00"/>
    <x v="3"/>
    <s v="Laptop"/>
    <s v="Grace"/>
    <n v="1"/>
    <n v="1216"/>
    <x v="2"/>
    <n v="1216"/>
    <n v="873.68156399225518"/>
    <n v="342.31843600774482"/>
  </r>
  <r>
    <d v="2024-02-02T00:00:00"/>
    <x v="2"/>
    <s v="Laptop"/>
    <s v="Alice"/>
    <n v="15"/>
    <n v="725"/>
    <x v="2"/>
    <n v="10875"/>
    <n v="8212.6110012215322"/>
    <n v="2662.3889987784678"/>
  </r>
  <r>
    <d v="2024-06-27T00:00:00"/>
    <x v="3"/>
    <s v="Camera"/>
    <s v="David"/>
    <n v="4"/>
    <n v="383"/>
    <x v="2"/>
    <n v="1532"/>
    <n v="1304.8106520122451"/>
    <n v="227.1893479877551"/>
  </r>
  <r>
    <d v="2024-04-10T00:00:00"/>
    <x v="1"/>
    <s v="Tablet"/>
    <s v="Bob"/>
    <n v="13"/>
    <n v="1778"/>
    <x v="2"/>
    <n v="23114"/>
    <n v="18925.82780414951"/>
    <n v="4188.1721958504904"/>
  </r>
  <r>
    <d v="2024-09-24T00:00:00"/>
    <x v="3"/>
    <s v="Camera"/>
    <m/>
    <n v="5"/>
    <n v="322"/>
    <x v="2"/>
    <n v="1610"/>
    <n v="1144.400914105421"/>
    <n v="465.59908589457859"/>
  </r>
  <r>
    <d v="2024-11-18T00:00:00"/>
    <x v="2"/>
    <s v="Monitor"/>
    <s v="Grace"/>
    <n v="2"/>
    <n v="843"/>
    <x v="1"/>
    <n v="1686"/>
    <n v="1342.1062533388299"/>
    <n v="343.89374666117033"/>
  </r>
  <r>
    <d v="2024-03-05T00:00:00"/>
    <x v="3"/>
    <s v="Camera"/>
    <s v="Eva"/>
    <n v="1"/>
    <n v="562"/>
    <x v="2"/>
    <n v="562"/>
    <n v="434.46717907166669"/>
    <n v="127.53282092833329"/>
  </r>
  <r>
    <d v="2024-06-16T00:00:00"/>
    <x v="2"/>
    <s v="Laptop"/>
    <s v="Grace"/>
    <n v="16"/>
    <n v="1668"/>
    <x v="2"/>
    <n v="26688"/>
    <n v="17022.027608316552"/>
    <n v="9665.9723916834519"/>
  </r>
  <r>
    <d v="2024-11-25T00:00:00"/>
    <x v="3"/>
    <s v="Headphones"/>
    <s v="Hannah"/>
    <n v="6"/>
    <n v="1399"/>
    <x v="0"/>
    <n v="8394"/>
    <n v="5627.8211607090752"/>
    <n v="2766.1788392909252"/>
  </r>
  <r>
    <d v="2024-02-12T00:00:00"/>
    <x v="2"/>
    <s v="Smartwatch"/>
    <s v="David"/>
    <n v="16"/>
    <n v="1805"/>
    <x v="0"/>
    <n v="28880"/>
    <n v="20283.483717356819"/>
    <n v="8596.5162826431806"/>
  </r>
  <r>
    <d v="2024-02-13T00:00:00"/>
    <x v="2"/>
    <s v="Printer"/>
    <s v="Frank"/>
    <n v="14"/>
    <n v="1263"/>
    <x v="1"/>
    <n v="17682"/>
    <n v="11646.16127739584"/>
    <n v="6035.8387226041632"/>
  </r>
  <r>
    <d v="2024-10-11T00:00:00"/>
    <x v="3"/>
    <s v="Smartwatch"/>
    <s v="Alice"/>
    <n v="3"/>
    <n v="456"/>
    <x v="0"/>
    <n v="1368"/>
    <n v="882.41493032864253"/>
    <n v="485.58506967135747"/>
  </r>
  <r>
    <d v="2024-01-12T00:00:00"/>
    <x v="1"/>
    <s v="Smartwatch"/>
    <s v="Alice"/>
    <n v="15"/>
    <n v="1836"/>
    <x v="0"/>
    <n v="27540"/>
    <n v="17004.829976816429"/>
    <n v="10535.170023183569"/>
  </r>
  <r>
    <d v="2024-04-04T00:00:00"/>
    <x v="0"/>
    <s v="Mobile"/>
    <s v="David"/>
    <n v="3"/>
    <n v="1146"/>
    <x v="2"/>
    <n v="3438"/>
    <n v="2963.317986169051"/>
    <n v="474.68201383094947"/>
  </r>
  <r>
    <d v="2024-10-28T00:00:00"/>
    <x v="1"/>
    <s v="Laptop"/>
    <s v="Alice"/>
    <n v="2"/>
    <n v="1859"/>
    <x v="2"/>
    <n v="3718"/>
    <n v="2553.0874883979982"/>
    <n v="1164.912511602002"/>
  </r>
  <r>
    <d v="2024-09-09T00:00:00"/>
    <x v="3"/>
    <s v="Monitor"/>
    <s v="Frank"/>
    <n v="1"/>
    <n v="1393"/>
    <x v="1"/>
    <n v="1393"/>
    <n v="957.12498038383728"/>
    <n v="435.87501961616272"/>
  </r>
  <r>
    <d v="2024-08-29T00:00:00"/>
    <x v="1"/>
    <s v="Monitor"/>
    <s v="Grace"/>
    <n v="9"/>
    <n v="958"/>
    <x v="1"/>
    <n v="8622"/>
    <n v="5706.6297002768406"/>
    <n v="2915.370299723159"/>
  </r>
  <r>
    <d v="2024-02-04T00:00:00"/>
    <x v="2"/>
    <s v="Printer"/>
    <s v="Alice"/>
    <n v="9"/>
    <n v="764"/>
    <x v="1"/>
    <n v="6876"/>
    <n v="5106.2496986808173"/>
    <n v="1769.7503013191831"/>
  </r>
  <r>
    <d v="2024-08-02T00:00:00"/>
    <x v="0"/>
    <s v="Headphones"/>
    <s v="David"/>
    <m/>
    <n v="1456"/>
    <x v="0"/>
    <m/>
    <m/>
    <m/>
  </r>
  <r>
    <d v="2024-12-02T00:00:00"/>
    <x v="3"/>
    <s v="Mobile"/>
    <s v="Charlie"/>
    <n v="3"/>
    <n v="1114"/>
    <x v="2"/>
    <n v="3342"/>
    <n v="2214.0228901575051"/>
    <n v="1127.9771098424951"/>
  </r>
  <r>
    <d v="2024-03-30T00:00:00"/>
    <x v="3"/>
    <s v="Tablet"/>
    <s v="Charlie"/>
    <n v="18"/>
    <n v="184"/>
    <x v="2"/>
    <n v="3312"/>
    <n v="2591.875487701323"/>
    <n v="720.12451229867702"/>
  </r>
  <r>
    <d v="2024-09-20T00:00:00"/>
    <x v="3"/>
    <s v="Headphones"/>
    <s v="Bob"/>
    <n v="11"/>
    <n v="720"/>
    <x v="0"/>
    <n v="7920"/>
    <n v="6469.8479039947479"/>
    <n v="1450.1520960052519"/>
  </r>
  <r>
    <d v="2024-04-02T00:00:00"/>
    <x v="0"/>
    <s v="Camera"/>
    <s v="Hannah"/>
    <n v="7"/>
    <n v="1154"/>
    <x v="2"/>
    <n v="8078"/>
    <n v="5752.7640643286759"/>
    <n v="2325.2359356713241"/>
  </r>
  <r>
    <d v="2024-03-30T00:00:00"/>
    <x v="2"/>
    <s v="Headphones"/>
    <s v="Alice"/>
    <n v="9"/>
    <n v="1864"/>
    <x v="0"/>
    <n v="16776"/>
    <n v="13012.06129994412"/>
    <n v="3763.9387000558841"/>
  </r>
  <r>
    <d v="2024-04-24T00:00:00"/>
    <x v="3"/>
    <s v="Headphones"/>
    <s v="Hannah"/>
    <n v="1"/>
    <n v="339"/>
    <x v="0"/>
    <n v="339"/>
    <n v="254.4841037552242"/>
    <n v="84.515896244775803"/>
  </r>
  <r>
    <d v="2024-04-14T00:00:00"/>
    <x v="1"/>
    <s v="Smartwatch"/>
    <s v="Grace"/>
    <n v="14"/>
    <n v="462"/>
    <x v="0"/>
    <n v="6468"/>
    <n v="4260.24211217018"/>
    <n v="2207.75788782982"/>
  </r>
  <r>
    <d v="2024-07-14T00:00:00"/>
    <x v="3"/>
    <s v="Headphones"/>
    <s v="David"/>
    <n v="6"/>
    <n v="921"/>
    <x v="0"/>
    <n v="5526"/>
    <n v="4525.8122171904952"/>
    <n v="1000.1877828095051"/>
  </r>
  <r>
    <d v="2024-11-09T00:00:00"/>
    <x v="3"/>
    <s v="Monitor"/>
    <s v="Alice"/>
    <n v="7"/>
    <n v="1512"/>
    <x v="1"/>
    <n v="10584"/>
    <n v="8895.1736539469148"/>
    <n v="1688.826346053085"/>
  </r>
  <r>
    <d v="2024-04-23T00:00:00"/>
    <x v="3"/>
    <s v="Camera"/>
    <s v="Eva"/>
    <n v="10"/>
    <n v="1776"/>
    <x v="2"/>
    <n v="17760"/>
    <n v="14112.769719848429"/>
    <n v="3647.2302801515712"/>
  </r>
  <r>
    <d v="2024-03-15T00:00:00"/>
    <x v="4"/>
    <s v="Camera"/>
    <s v="Frank"/>
    <n v="7"/>
    <n v="767"/>
    <x v="2"/>
    <n v="5369"/>
    <n v="3743.0993319308318"/>
    <n v="1625.900668069168"/>
  </r>
  <r>
    <d v="2024-08-04T00:00:00"/>
    <x v="2"/>
    <s v="Laptop"/>
    <s v="Alice"/>
    <n v="2"/>
    <n v="1422"/>
    <x v="2"/>
    <n v="2844"/>
    <n v="2497.1393562300159"/>
    <n v="346.86064376998411"/>
  </r>
  <r>
    <d v="2024-10-03T00:00:00"/>
    <x v="1"/>
    <s v="Headphones"/>
    <s v="Alice"/>
    <n v="4"/>
    <n v="1980"/>
    <x v="0"/>
    <n v="7920"/>
    <n v="5833.931529876415"/>
    <n v="2086.068470123585"/>
  </r>
  <r>
    <d v="2024-09-05T00:00:00"/>
    <x v="2"/>
    <s v="Smartwatch"/>
    <s v="Hannah"/>
    <m/>
    <n v="1494"/>
    <x v="0"/>
    <m/>
    <m/>
    <m/>
  </r>
  <r>
    <d v="2024-06-12T00:00:00"/>
    <x v="1"/>
    <s v="Headphones"/>
    <s v="Hannah"/>
    <n v="1"/>
    <n v="198"/>
    <x v="0"/>
    <n v="198"/>
    <n v="143.0491364768242"/>
    <n v="54.950863523175769"/>
  </r>
  <r>
    <d v="2024-12-22T00:00:00"/>
    <x v="3"/>
    <s v="Tablet"/>
    <s v="Charlie"/>
    <n v="10"/>
    <n v="146"/>
    <x v="2"/>
    <n v="1460"/>
    <n v="1179.128890255796"/>
    <n v="280.8711097442042"/>
  </r>
  <r>
    <d v="2024-07-10T00:00:00"/>
    <x v="0"/>
    <s v="Tablet"/>
    <s v="Frank"/>
    <n v="19"/>
    <n v="938"/>
    <x v="2"/>
    <n v="17822"/>
    <n v="15216.058885205741"/>
    <n v="2605.9411147942569"/>
  </r>
  <r>
    <d v="2024-08-14T00:00:00"/>
    <x v="2"/>
    <s v="Smartwatch"/>
    <s v="David"/>
    <n v="15"/>
    <n v="521"/>
    <x v="0"/>
    <n v="7815"/>
    <n v="5524.9912580686942"/>
    <n v="2290.0087419313058"/>
  </r>
  <r>
    <d v="2024-06-25T00:00:00"/>
    <x v="0"/>
    <s v="Laptop"/>
    <s v="Alice"/>
    <n v="10"/>
    <n v="1603"/>
    <x v="2"/>
    <n v="16030"/>
    <n v="10736.690960859079"/>
    <n v="5293.3090391409169"/>
  </r>
  <r>
    <d v="2024-04-08T00:00:00"/>
    <x v="2"/>
    <s v="Laptop"/>
    <s v="Charlie"/>
    <n v="19"/>
    <n v="1702"/>
    <x v="2"/>
    <n v="32338"/>
    <n v="25480.660469186059"/>
    <n v="6857.3395308139443"/>
  </r>
  <r>
    <d v="2024-02-05T00:00:00"/>
    <x v="3"/>
    <s v="Camera"/>
    <s v="Hannah"/>
    <n v="12"/>
    <n v="161"/>
    <x v="2"/>
    <n v="1932"/>
    <n v="1693.136272021603"/>
    <n v="238.86372797839701"/>
  </r>
  <r>
    <d v="2024-04-05T00:00:00"/>
    <x v="2"/>
    <s v="Camera"/>
    <s v="Bob"/>
    <n v="16"/>
    <n v="1232"/>
    <x v="2"/>
    <n v="19712"/>
    <n v="12911.123634744999"/>
    <n v="6800.8763652550042"/>
  </r>
  <r>
    <d v="2024-05-31T00:00:00"/>
    <x v="3"/>
    <s v="Mobile"/>
    <s v="Frank"/>
    <n v="9"/>
    <n v="1802"/>
    <x v="2"/>
    <n v="16218"/>
    <n v="13637.81050263934"/>
    <n v="2580.1894973606609"/>
  </r>
  <r>
    <d v="2024-05-30T00:00:00"/>
    <x v="2"/>
    <s v="Smartwatch"/>
    <s v="Charlie"/>
    <n v="15"/>
    <n v="1672"/>
    <x v="0"/>
    <n v="25080"/>
    <n v="18633.99243351183"/>
    <n v="6446.0075664881697"/>
  </r>
  <r>
    <d v="2024-07-08T00:00:00"/>
    <x v="3"/>
    <s v="Headphones"/>
    <s v="Charlie"/>
    <n v="17"/>
    <n v="1242"/>
    <x v="0"/>
    <n v="21114"/>
    <n v="17732.67210259668"/>
    <n v="3381.3278974033201"/>
  </r>
  <r>
    <d v="2024-08-11T00:00:00"/>
    <x v="3"/>
    <s v="Printer"/>
    <s v="Grace"/>
    <n v="14"/>
    <n v="1109"/>
    <x v="1"/>
    <n v="15526"/>
    <n v="11670.30956741403"/>
    <n v="3855.6904325859668"/>
  </r>
  <r>
    <d v="2024-02-06T00:00:00"/>
    <x v="1"/>
    <s v="Smartwatch"/>
    <s v="Charlie"/>
    <n v="18"/>
    <n v="697"/>
    <x v="0"/>
    <n v="12546"/>
    <n v="8947.7862769186922"/>
    <n v="3598.2137230813082"/>
  </r>
  <r>
    <d v="2024-09-24T00:00:00"/>
    <x v="3"/>
    <s v="Mobile"/>
    <s v="Grace"/>
    <m/>
    <n v="1505"/>
    <x v="2"/>
    <m/>
    <m/>
    <m/>
  </r>
  <r>
    <d v="2024-07-01T00:00:00"/>
    <x v="1"/>
    <s v="Camera"/>
    <s v="Alice"/>
    <n v="4"/>
    <n v="491"/>
    <x v="2"/>
    <n v="1964"/>
    <n v="1709.0496019753141"/>
    <n v="254.95039802468639"/>
  </r>
  <r>
    <d v="2024-01-13T00:00:00"/>
    <x v="3"/>
    <s v="Smartwatch"/>
    <s v="Alice"/>
    <n v="18"/>
    <n v="1076"/>
    <x v="0"/>
    <n v="19368"/>
    <n v="13481.590654142899"/>
    <n v="5886.4093458570987"/>
  </r>
  <r>
    <d v="2024-10-05T00:00:00"/>
    <x v="0"/>
    <s v="Smartwatch"/>
    <s v="Hannah"/>
    <n v="7"/>
    <n v="1175"/>
    <x v="0"/>
    <n v="8225"/>
    <n v="6071.8960230986131"/>
    <n v="2153.1039769013869"/>
  </r>
  <r>
    <d v="2024-08-04T00:00:00"/>
    <x v="3"/>
    <s v="Camera"/>
    <s v="Bob"/>
    <n v="13"/>
    <n v="702"/>
    <x v="2"/>
    <n v="9126"/>
    <n v="6103.6530357697393"/>
    <n v="3022.3469642302612"/>
  </r>
  <r>
    <d v="2024-12-20T00:00:00"/>
    <x v="0"/>
    <s v="Monitor"/>
    <s v="Eva"/>
    <n v="15"/>
    <n v="1412"/>
    <x v="1"/>
    <n v="21180"/>
    <n v="13873.38373182465"/>
    <n v="7306.616268175354"/>
  </r>
  <r>
    <d v="2024-12-26T00:00:00"/>
    <x v="0"/>
    <s v="Mobile"/>
    <s v="Eva"/>
    <n v="1"/>
    <n v="436"/>
    <x v="2"/>
    <n v="436"/>
    <n v="363.34803062489652"/>
    <n v="72.651969375103533"/>
  </r>
  <r>
    <d v="2024-10-12T00:00:00"/>
    <x v="3"/>
    <s v="Camera"/>
    <s v="Eva"/>
    <n v="11"/>
    <n v="909"/>
    <x v="2"/>
    <n v="9999"/>
    <n v="6601.3321508303197"/>
    <n v="3397.6678491696798"/>
  </r>
  <r>
    <d v="2024-09-29T00:00:00"/>
    <x v="0"/>
    <s v="Laptop"/>
    <s v="Hannah"/>
    <n v="10"/>
    <n v="1327"/>
    <x v="2"/>
    <n v="13270"/>
    <n v="11120.199640082439"/>
    <n v="2149.8003599175549"/>
  </r>
  <r>
    <d v="2024-03-02T00:00:00"/>
    <x v="1"/>
    <s v="Headphones"/>
    <s v="Grace"/>
    <n v="5"/>
    <n v="1361"/>
    <x v="0"/>
    <n v="6805"/>
    <n v="4959.2466113318997"/>
    <n v="1845.7533886680999"/>
  </r>
  <r>
    <d v="2024-03-24T00:00:00"/>
    <x v="2"/>
    <s v="Camera"/>
    <s v="Hannah"/>
    <n v="16"/>
    <n v="1505"/>
    <x v="2"/>
    <n v="24080"/>
    <n v="21636.23197789734"/>
    <n v="2443.7680221026599"/>
  </r>
  <r>
    <d v="2024-08-04T00:00:00"/>
    <x v="3"/>
    <s v="Mobile"/>
    <s v="Frank"/>
    <n v="11"/>
    <n v="1790"/>
    <x v="2"/>
    <n v="19690"/>
    <n v="12979.69575725594"/>
    <n v="6710.304242744056"/>
  </r>
  <r>
    <d v="2024-12-07T00:00:00"/>
    <x v="0"/>
    <s v="Tablet"/>
    <s v="Frank"/>
    <n v="6"/>
    <n v="851"/>
    <x v="2"/>
    <n v="5106"/>
    <n v="3206.0236889311468"/>
    <n v="1899.976311068853"/>
  </r>
  <r>
    <d v="2024-07-05T00:00:00"/>
    <x v="3"/>
    <s v="Laptop"/>
    <s v="Bob"/>
    <n v="9"/>
    <n v="1259"/>
    <x v="2"/>
    <n v="11331"/>
    <n v="7055.0196335031624"/>
    <n v="4275.9803664968376"/>
  </r>
  <r>
    <d v="2024-01-19T00:00:00"/>
    <x v="1"/>
    <s v="Tablet"/>
    <s v="Frank"/>
    <n v="13"/>
    <n v="1530"/>
    <x v="2"/>
    <n v="19890"/>
    <n v="16918.939234189311"/>
    <n v="2971.0607658106928"/>
  </r>
  <r>
    <d v="2024-06-25T00:00:00"/>
    <x v="3"/>
    <s v="Printer"/>
    <s v="Eva"/>
    <n v="8"/>
    <n v="1631"/>
    <x v="1"/>
    <n v="13048"/>
    <n v="9542.4315920067784"/>
    <n v="3505.5684079932221"/>
  </r>
  <r>
    <d v="2024-04-09T00:00:00"/>
    <x v="3"/>
    <s v="Camera"/>
    <s v="Eva"/>
    <n v="14"/>
    <n v="1485"/>
    <x v="2"/>
    <n v="20790"/>
    <n v="12493.486568750661"/>
    <n v="8296.5134312493428"/>
  </r>
  <r>
    <d v="2024-08-20T00:00:00"/>
    <x v="0"/>
    <s v="Laptop"/>
    <s v="Hannah"/>
    <n v="1"/>
    <n v="1504"/>
    <x v="2"/>
    <n v="1504"/>
    <n v="1297.0968387615051"/>
    <n v="206.9031612384949"/>
  </r>
  <r>
    <d v="2024-03-16T00:00:00"/>
    <x v="4"/>
    <s v="Headphones"/>
    <s v="Charlie"/>
    <n v="17"/>
    <n v="980"/>
    <x v="0"/>
    <n v="16660"/>
    <n v="14378.851192537701"/>
    <n v="2281.148807462298"/>
  </r>
  <r>
    <d v="2024-09-21T00:00:00"/>
    <x v="2"/>
    <m/>
    <s v="Frank"/>
    <n v="5"/>
    <n v="1699"/>
    <x v="2"/>
    <n v="8495"/>
    <n v="7152.1528937368876"/>
    <n v="1342.847106263112"/>
  </r>
  <r>
    <d v="2024-10-10T00:00:00"/>
    <x v="2"/>
    <s v="Headphones"/>
    <s v="Hannah"/>
    <n v="2"/>
    <n v="734"/>
    <x v="0"/>
    <n v="1468"/>
    <n v="990.15945992414072"/>
    <n v="477.84054007585928"/>
  </r>
  <r>
    <d v="2024-07-24T00:00:00"/>
    <x v="0"/>
    <s v="Monitor"/>
    <s v="Alice"/>
    <n v="9"/>
    <n v="353"/>
    <x v="1"/>
    <n v="3177"/>
    <n v="2261.4706174960229"/>
    <n v="915.5293825039771"/>
  </r>
  <r>
    <d v="2024-08-10T00:00:00"/>
    <x v="3"/>
    <s v="Smartwatch"/>
    <s v="Alice"/>
    <n v="4"/>
    <n v="1600"/>
    <x v="0"/>
    <n v="6400"/>
    <n v="5270.2583523753292"/>
    <n v="1129.741647624671"/>
  </r>
  <r>
    <d v="2024-02-21T00:00:00"/>
    <x v="0"/>
    <s v="Tablet"/>
    <s v="Charlie"/>
    <n v="17"/>
    <n v="1237"/>
    <x v="2"/>
    <n v="21029"/>
    <n v="15704.582062258831"/>
    <n v="5324.4179377411674"/>
  </r>
  <r>
    <d v="2024-12-04T00:00:00"/>
    <x v="0"/>
    <s v="Laptop"/>
    <s v="Charlie"/>
    <n v="17"/>
    <n v="119"/>
    <x v="2"/>
    <n v="2023"/>
    <n v="1307.1573494135239"/>
    <n v="715.84265058647611"/>
  </r>
  <r>
    <d v="2024-05-23T00:00:00"/>
    <x v="0"/>
    <s v="Headphones"/>
    <s v="Charlie"/>
    <n v="18"/>
    <n v="627"/>
    <x v="0"/>
    <n v="11286"/>
    <n v="7593.6663640377928"/>
    <n v="3692.3336359622072"/>
  </r>
  <r>
    <d v="2024-03-09T00:00:00"/>
    <x v="3"/>
    <s v="Mobile"/>
    <s v="Hannah"/>
    <n v="16"/>
    <n v="1268"/>
    <x v="2"/>
    <n v="20288"/>
    <n v="18092.368956484679"/>
    <n v="2195.6310435153209"/>
  </r>
  <r>
    <d v="2024-04-08T00:00:00"/>
    <x v="1"/>
    <s v="Headphones"/>
    <s v="Alice"/>
    <n v="8"/>
    <n v="1331"/>
    <x v="0"/>
    <n v="10648"/>
    <n v="6871.1963023091485"/>
    <n v="3776.803697690852"/>
  </r>
  <r>
    <d v="2024-01-25T00:00:00"/>
    <x v="0"/>
    <s v="Mobile"/>
    <s v="Eva"/>
    <n v="11"/>
    <n v="1654"/>
    <x v="2"/>
    <n v="18194"/>
    <n v="14879.49398610089"/>
    <n v="3314.5060138991098"/>
  </r>
  <r>
    <d v="2024-02-22T00:00:00"/>
    <x v="3"/>
    <s v="Camera"/>
    <s v="Charlie"/>
    <n v="18"/>
    <n v="475"/>
    <x v="2"/>
    <n v="8550"/>
    <n v="6356.1169565817172"/>
    <n v="2193.8830434182828"/>
  </r>
  <r>
    <d v="2024-05-30T00:00:00"/>
    <x v="1"/>
    <s v="Laptop"/>
    <s v="Bob"/>
    <n v="10"/>
    <n v="1627"/>
    <x v="2"/>
    <n v="16270"/>
    <n v="13415.92470027409"/>
    <n v="2854.0752997259078"/>
  </r>
  <r>
    <d v="2024-05-23T00:00:00"/>
    <x v="0"/>
    <s v="Headphones"/>
    <s v="Grace"/>
    <n v="13"/>
    <n v="265"/>
    <x v="0"/>
    <n v="3445"/>
    <n v="2750.26053472273"/>
    <n v="694.73946527726957"/>
  </r>
  <r>
    <d v="2024-02-26T00:00:00"/>
    <x v="2"/>
    <s v="Printer"/>
    <s v="Hannah"/>
    <n v="17"/>
    <n v="1673"/>
    <x v="1"/>
    <n v="28441"/>
    <n v="20811.70621996668"/>
    <n v="7629.2937800333239"/>
  </r>
  <r>
    <d v="2024-02-08T00:00:00"/>
    <x v="1"/>
    <s v="Headphones"/>
    <s v="Charlie"/>
    <n v="18"/>
    <n v="1304"/>
    <x v="0"/>
    <n v="23472"/>
    <n v="16575.298463088289"/>
    <n v="6896.7015369117144"/>
  </r>
  <r>
    <d v="2024-04-18T00:00:00"/>
    <x v="0"/>
    <s v="Monitor"/>
    <s v="Grace"/>
    <m/>
    <n v="960"/>
    <x v="1"/>
    <m/>
    <m/>
    <m/>
  </r>
  <r>
    <d v="2024-06-29T00:00:00"/>
    <x v="1"/>
    <s v="Printer"/>
    <s v="David"/>
    <n v="16"/>
    <n v="716"/>
    <x v="1"/>
    <n v="11456"/>
    <n v="7984.1716976737707"/>
    <n v="3471.8283023262288"/>
  </r>
  <r>
    <d v="2024-02-11T00:00:00"/>
    <x v="1"/>
    <s v="Laptop"/>
    <s v="Charlie"/>
    <n v="5"/>
    <n v="711"/>
    <x v="2"/>
    <n v="3555"/>
    <n v="2973.1582835144582"/>
    <n v="581.84171648554184"/>
  </r>
  <r>
    <d v="2024-07-04T00:00:00"/>
    <x v="1"/>
    <s v="Monitor"/>
    <s v="Alice"/>
    <n v="13"/>
    <n v="1725"/>
    <x v="1"/>
    <n v="22425"/>
    <n v="18028.644228751571"/>
    <n v="4396.3557712484289"/>
  </r>
  <r>
    <d v="2024-08-10T00:00:00"/>
    <x v="1"/>
    <s v="Headphones"/>
    <m/>
    <n v="18"/>
    <n v="1935"/>
    <x v="0"/>
    <n v="34830"/>
    <n v="26934.065159766378"/>
    <n v="7895.9348402336182"/>
  </r>
  <r>
    <d v="2024-05-01T00:00:00"/>
    <x v="1"/>
    <s v="Mobile"/>
    <s v="Charlie"/>
    <n v="17"/>
    <n v="1567"/>
    <x v="2"/>
    <n v="26639"/>
    <n v="18930.746031873688"/>
    <n v="7708.2539681263124"/>
  </r>
  <r>
    <d v="2024-05-12T00:00:00"/>
    <x v="1"/>
    <s v="Headphones"/>
    <s v="Hannah"/>
    <n v="9"/>
    <n v="1455"/>
    <x v="0"/>
    <n v="13095"/>
    <n v="8662.6621139852032"/>
    <n v="4432.3378860147968"/>
  </r>
  <r>
    <d v="2024-06-11T00:00:00"/>
    <x v="0"/>
    <s v="Tablet"/>
    <s v="Frank"/>
    <n v="14"/>
    <n v="602"/>
    <x v="2"/>
    <n v="8428"/>
    <n v="6853.0254254568936"/>
    <n v="1574.974574543106"/>
  </r>
  <r>
    <d v="2024-08-02T00:00:00"/>
    <x v="2"/>
    <s v="Camera"/>
    <s v="David"/>
    <n v="17"/>
    <n v="1012"/>
    <x v="2"/>
    <n v="17204"/>
    <n v="10793.871631272799"/>
    <n v="6410.1283687271971"/>
  </r>
  <r>
    <d v="2024-08-08T00:00:00"/>
    <x v="3"/>
    <s v="Smartwatch"/>
    <s v="Bob"/>
    <n v="4"/>
    <n v="178"/>
    <x v="0"/>
    <n v="712"/>
    <n v="634.5078259148703"/>
    <n v="77.492174085129705"/>
  </r>
  <r>
    <d v="2024-08-22T00:00:00"/>
    <x v="1"/>
    <s v="Mobile"/>
    <s v="Frank"/>
    <n v="18"/>
    <n v="684"/>
    <x v="2"/>
    <n v="12312"/>
    <n v="11002.303297423759"/>
    <n v="1309.6967025762351"/>
  </r>
  <r>
    <d v="2024-11-26T00:00:00"/>
    <x v="3"/>
    <s v="Tablet"/>
    <s v="Grace"/>
    <n v="15"/>
    <n v="787"/>
    <x v="2"/>
    <n v="11805"/>
    <n v="7544.1833944157479"/>
    <n v="4260.8166055842521"/>
  </r>
  <r>
    <d v="2024-05-25T00:00:00"/>
    <x v="0"/>
    <s v="Printer"/>
    <s v="Eva"/>
    <n v="11"/>
    <n v="495"/>
    <x v="1"/>
    <n v="5445"/>
    <n v="3436.7783500752562"/>
    <n v="2008.221649924744"/>
  </r>
  <r>
    <d v="2024-08-26T00:00:00"/>
    <x v="1"/>
    <s v="Camera"/>
    <s v="Charlie"/>
    <n v="12"/>
    <n v="1731"/>
    <x v="2"/>
    <n v="20772"/>
    <n v="15035.085556490611"/>
    <n v="5736.9144435093885"/>
  </r>
  <r>
    <d v="2024-03-16T00:00:00"/>
    <x v="2"/>
    <s v="Laptop"/>
    <s v="David"/>
    <n v="9"/>
    <n v="1980"/>
    <x v="2"/>
    <n v="17820"/>
    <n v="15843.850773504641"/>
    <n v="1976.1492264953561"/>
  </r>
  <r>
    <d v="2024-01-09T00:00:00"/>
    <x v="3"/>
    <s v="Mobile"/>
    <s v="David"/>
    <n v="13"/>
    <n v="1226"/>
    <x v="2"/>
    <n v="15938"/>
    <n v="11476.846533583641"/>
    <n v="4461.1534664163573"/>
  </r>
  <r>
    <d v="2024-03-14T00:00:00"/>
    <x v="1"/>
    <s v="Smartwatch"/>
    <s v="Frank"/>
    <n v="15"/>
    <n v="501"/>
    <x v="0"/>
    <n v="7515"/>
    <n v="5329.1918534606993"/>
    <n v="2185.8081465393011"/>
  </r>
  <r>
    <d v="2024-09-09T00:00:00"/>
    <x v="0"/>
    <s v="Camera"/>
    <s v="Bob"/>
    <n v="15"/>
    <n v="1074"/>
    <x v="2"/>
    <n v="16110"/>
    <n v="13066.42659014106"/>
    <n v="3043.5734098589378"/>
  </r>
  <r>
    <d v="2024-08-17T00:00:00"/>
    <x v="2"/>
    <s v="Printer"/>
    <s v="Alice"/>
    <n v="5"/>
    <n v="323"/>
    <x v="1"/>
    <n v="1615"/>
    <n v="1055.5952841303881"/>
    <n v="559.40471586961235"/>
  </r>
  <r>
    <d v="2024-01-07T00:00:00"/>
    <x v="4"/>
    <s v="Monitor"/>
    <s v="Charlie"/>
    <n v="19"/>
    <n v="617"/>
    <x v="1"/>
    <n v="11723"/>
    <n v="8311.5723593805269"/>
    <n v="3411.4276406194731"/>
  </r>
  <r>
    <d v="2024-06-22T00:00:00"/>
    <x v="3"/>
    <s v="Monitor"/>
    <s v="David"/>
    <n v="14"/>
    <n v="733"/>
    <x v="1"/>
    <n v="10262"/>
    <n v="7054.0191041006383"/>
    <n v="3207.9808958993622"/>
  </r>
  <r>
    <d v="2024-05-20T00:00:00"/>
    <x v="1"/>
    <s v="Smartwatch"/>
    <s v="Bob"/>
    <n v="17"/>
    <n v="335"/>
    <x v="0"/>
    <n v="5695"/>
    <n v="4444.7219027644251"/>
    <n v="1250.2780972355749"/>
  </r>
  <r>
    <d v="2024-06-16T00:00:00"/>
    <x v="2"/>
    <s v="Laptop"/>
    <s v="Eva"/>
    <n v="18"/>
    <n v="1550"/>
    <x v="2"/>
    <n v="27900"/>
    <n v="18102.241657612551"/>
    <n v="9797.7583423874494"/>
  </r>
  <r>
    <d v="2024-06-18T00:00:00"/>
    <x v="2"/>
    <s v="Laptop"/>
    <s v="David"/>
    <n v="3"/>
    <n v="215"/>
    <x v="2"/>
    <n v="645"/>
    <n v="493.17369295980671"/>
    <n v="151.82630704019331"/>
  </r>
  <r>
    <d v="2024-10-09T00:00:00"/>
    <x v="2"/>
    <s v="Printer"/>
    <s v="Bob"/>
    <n v="2"/>
    <n v="1286"/>
    <x v="1"/>
    <n v="2572"/>
    <n v="2204.8829487952689"/>
    <n v="367.11705120473061"/>
  </r>
  <r>
    <d v="2024-05-01T00:00:00"/>
    <x v="2"/>
    <s v="Mobile"/>
    <s v="Hannah"/>
    <n v="1"/>
    <n v="325"/>
    <x v="2"/>
    <n v="325"/>
    <n v="245.13162830399119"/>
    <n v="79.868371696008836"/>
  </r>
  <r>
    <d v="2024-07-12T00:00:00"/>
    <x v="0"/>
    <s v="Printer"/>
    <s v="Alice"/>
    <n v="10"/>
    <n v="329"/>
    <x v="1"/>
    <n v="3290"/>
    <n v="2648.6111610758098"/>
    <n v="641.38883892418971"/>
  </r>
  <r>
    <d v="2024-01-05T00:00:00"/>
    <x v="2"/>
    <s v="Headphones"/>
    <s v="Alice"/>
    <n v="19"/>
    <n v="281"/>
    <x v="0"/>
    <n v="5339"/>
    <n v="3323.924749914745"/>
    <n v="2015.075250085255"/>
  </r>
  <r>
    <d v="2024-01-29T00:00:00"/>
    <x v="3"/>
    <s v="Laptop"/>
    <s v="David"/>
    <n v="17"/>
    <n v="1372"/>
    <x v="2"/>
    <n v="23324"/>
    <n v="17136.181839107408"/>
    <n v="6187.8181608925915"/>
  </r>
  <r>
    <d v="2024-06-13T00:00:00"/>
    <x v="3"/>
    <s v="Camera"/>
    <s v="Grace"/>
    <n v="12"/>
    <n v="1441"/>
    <x v="2"/>
    <n v="17292"/>
    <n v="10867.467795390219"/>
    <n v="6424.5322046097754"/>
  </r>
  <r>
    <d v="2024-12-04T00:00:00"/>
    <x v="0"/>
    <s v="Headphones"/>
    <s v="David"/>
    <n v="1"/>
    <n v="309"/>
    <x v="0"/>
    <n v="309"/>
    <n v="240.97009734542311"/>
    <n v="68.029902654576887"/>
  </r>
  <r>
    <d v="2024-05-15T00:00:00"/>
    <x v="3"/>
    <s v="Monitor"/>
    <s v="Frank"/>
    <n v="12"/>
    <n v="1779"/>
    <x v="1"/>
    <n v="21348"/>
    <n v="14608.7846147456"/>
    <n v="6739.2153852543961"/>
  </r>
  <r>
    <d v="2024-12-30T00:00:00"/>
    <x v="3"/>
    <s v="Monitor"/>
    <s v="Charlie"/>
    <n v="17"/>
    <n v="1515"/>
    <x v="1"/>
    <n v="25755"/>
    <n v="17672.559443157741"/>
    <n v="8082.440556842259"/>
  </r>
  <r>
    <d v="2024-11-16T00:00:00"/>
    <x v="2"/>
    <s v="Tablet"/>
    <s v="Bob"/>
    <n v="3"/>
    <n v="1980"/>
    <x v="2"/>
    <n v="5940"/>
    <n v="3700.798325592355"/>
    <n v="2239.201674407645"/>
  </r>
  <r>
    <d v="2024-12-07T00:00:00"/>
    <x v="3"/>
    <s v="Smartwatch"/>
    <s v="David"/>
    <n v="11"/>
    <n v="195"/>
    <x v="0"/>
    <n v="2145"/>
    <n v="1486.6380638371129"/>
    <n v="658.36193616288733"/>
  </r>
  <r>
    <d v="2024-05-24T00:00:00"/>
    <x v="0"/>
    <s v="Headphones"/>
    <s v="Charlie"/>
    <n v="17"/>
    <n v="993"/>
    <x v="0"/>
    <n v="16881"/>
    <n v="12694.56522802347"/>
    <n v="4186.4347719765283"/>
  </r>
  <r>
    <d v="2024-11-22T00:00:00"/>
    <x v="4"/>
    <s v="Smartwatch"/>
    <s v="Frank"/>
    <n v="3"/>
    <n v="-50"/>
    <x v="0"/>
    <n v="-150"/>
    <n v="-116.3097046427293"/>
    <n v="-33.690295357270728"/>
  </r>
  <r>
    <d v="2024-08-04T00:00:00"/>
    <x v="1"/>
    <s v="Printer"/>
    <s v="Hannah"/>
    <n v="8"/>
    <n v="855"/>
    <x v="1"/>
    <n v="6840"/>
    <n v="4240.7977112179897"/>
    <n v="2599.2022887820099"/>
  </r>
  <r>
    <d v="2024-10-27T00:00:00"/>
    <x v="2"/>
    <s v="Headphones"/>
    <s v="Hannah"/>
    <n v="4"/>
    <n v="1209"/>
    <x v="0"/>
    <n v="4836"/>
    <n v="3846.7369866368749"/>
    <n v="989.26301336312508"/>
  </r>
  <r>
    <d v="2024-05-11T00:00:00"/>
    <x v="0"/>
    <s v="Printer"/>
    <s v="Charlie"/>
    <n v="7"/>
    <n v="514"/>
    <x v="1"/>
    <n v="3598"/>
    <n v="2686.492496157322"/>
    <n v="911.50750384267803"/>
  </r>
  <r>
    <d v="2024-10-18T00:00:00"/>
    <x v="2"/>
    <s v="Tablet"/>
    <s v="David"/>
    <n v="14"/>
    <n v="493"/>
    <x v="2"/>
    <n v="6902"/>
    <n v="5252.9217211872146"/>
    <n v="1649.0782788127849"/>
  </r>
  <r>
    <d v="2024-03-10T00:00:00"/>
    <x v="2"/>
    <s v="Laptop"/>
    <s v="Alice"/>
    <n v="14"/>
    <n v="795"/>
    <x v="2"/>
    <n v="11130"/>
    <n v="9458.7080937106675"/>
    <n v="1671.291906289332"/>
  </r>
  <r>
    <d v="2024-09-08T00:00:00"/>
    <x v="0"/>
    <s v="Monitor"/>
    <s v="Bob"/>
    <n v="4"/>
    <n v="1756"/>
    <x v="1"/>
    <n v="7024"/>
    <n v="4935.5395655464145"/>
    <n v="2088.460434453586"/>
  </r>
  <r>
    <d v="2024-10-01T00:00:00"/>
    <x v="2"/>
    <s v="Tablet"/>
    <s v="Bob"/>
    <n v="16"/>
    <n v="943"/>
    <x v="2"/>
    <n v="15088"/>
    <n v="9840.6249504826937"/>
    <n v="5247.3750495173063"/>
  </r>
  <r>
    <d v="2024-12-29T00:00:00"/>
    <x v="0"/>
    <s v="Monitor"/>
    <s v="Hannah"/>
    <n v="1"/>
    <n v="1624"/>
    <x v="1"/>
    <n v="1624"/>
    <n v="1243.241917604428"/>
    <n v="380.75808239557199"/>
  </r>
  <r>
    <d v="2024-06-30T00:00:00"/>
    <x v="0"/>
    <s v="Laptop"/>
    <s v="Hannah"/>
    <n v="17"/>
    <n v="703"/>
    <x v="2"/>
    <n v="11951"/>
    <n v="10558.78708093909"/>
    <n v="1392.212919060908"/>
  </r>
  <r>
    <d v="2024-06-15T00:00:00"/>
    <x v="1"/>
    <s v="Printer"/>
    <s v="Alice"/>
    <n v="10"/>
    <n v="681"/>
    <x v="1"/>
    <n v="6810"/>
    <n v="5144.0076319870514"/>
    <n v="1665.9923680129491"/>
  </r>
  <r>
    <d v="2024-03-31T00:00:00"/>
    <x v="3"/>
    <s v="Laptop"/>
    <s v="Grace"/>
    <n v="16"/>
    <n v="232"/>
    <x v="2"/>
    <n v="3712"/>
    <n v="3153.6173970994819"/>
    <n v="558.38260290051767"/>
  </r>
  <r>
    <d v="2024-07-20T00:00:00"/>
    <x v="3"/>
    <s v="Monitor"/>
    <s v="David"/>
    <n v="16"/>
    <n v="890"/>
    <x v="1"/>
    <n v="14240"/>
    <n v="11778.04093665753"/>
    <n v="2461.9590633424668"/>
  </r>
  <r>
    <d v="2024-12-11T00:00:00"/>
    <x v="2"/>
    <s v="Monitor"/>
    <s v="Hannah"/>
    <n v="8"/>
    <n v="748"/>
    <x v="1"/>
    <n v="5984"/>
    <n v="4520.9074288400498"/>
    <n v="1463.09257115995"/>
  </r>
  <r>
    <d v="2024-01-19T00:00:00"/>
    <x v="2"/>
    <s v="Smartwatch"/>
    <s v="Hannah"/>
    <n v="7"/>
    <n v="1437"/>
    <x v="0"/>
    <n v="10059"/>
    <n v="7989.5260525247331"/>
    <n v="2069.4739474752669"/>
  </r>
  <r>
    <d v="2024-02-08T00:00:00"/>
    <x v="1"/>
    <s v="Camera"/>
    <s v="Hannah"/>
    <n v="6"/>
    <n v="1822"/>
    <x v="2"/>
    <n v="10932"/>
    <n v="7892.9483317634013"/>
    <n v="3039.0516682365992"/>
  </r>
  <r>
    <d v="2024-05-05T00:00:00"/>
    <x v="1"/>
    <s v="Tablet"/>
    <s v="Bob"/>
    <n v="16"/>
    <n v="320"/>
    <x v="2"/>
    <n v="5120"/>
    <n v="3887.045666453289"/>
    <n v="1232.954333546711"/>
  </r>
  <r>
    <d v="2024-06-21T00:00:00"/>
    <x v="1"/>
    <s v="Headphones"/>
    <s v="David"/>
    <n v="16"/>
    <n v="1075"/>
    <x v="0"/>
    <n v="17200"/>
    <n v="12937.594497299669"/>
    <n v="4262.4055027003251"/>
  </r>
  <r>
    <d v="2024-05-20T00:00:00"/>
    <x v="0"/>
    <s v="Monitor"/>
    <s v="Frank"/>
    <n v="7"/>
    <n v="1561"/>
    <x v="1"/>
    <n v="10927"/>
    <n v="8880.7346808118764"/>
    <n v="2046.2653191881241"/>
  </r>
  <r>
    <d v="2024-08-29T00:00:00"/>
    <x v="1"/>
    <s v="Tablet"/>
    <s v="David"/>
    <n v="9"/>
    <n v="1169"/>
    <x v="2"/>
    <n v="10521"/>
    <n v="7606.6240382842352"/>
    <n v="2914.3759617157648"/>
  </r>
  <r>
    <d v="2024-08-07T00:00:00"/>
    <x v="1"/>
    <s v="Smartwatch"/>
    <s v="Charlie"/>
    <m/>
    <n v="1913"/>
    <x v="0"/>
    <m/>
    <m/>
    <m/>
  </r>
  <r>
    <d v="2024-05-05T00:00:00"/>
    <x v="2"/>
    <s v="Laptop"/>
    <s v="Alice"/>
    <n v="11"/>
    <n v="1315"/>
    <x v="2"/>
    <n v="14465"/>
    <n v="12101.60497424972"/>
    <n v="2363.395025750282"/>
  </r>
  <r>
    <d v="2024-02-27T00:00:00"/>
    <x v="1"/>
    <s v="Smartwatch"/>
    <s v="Grace"/>
    <n v="14"/>
    <n v="1643"/>
    <x v="0"/>
    <n v="23002"/>
    <n v="18527.096634766629"/>
    <n v="4474.903365233371"/>
  </r>
  <r>
    <d v="2024-05-27T00:00:00"/>
    <x v="0"/>
    <s v="Mobile"/>
    <s v="Hannah"/>
    <n v="7"/>
    <n v="1502"/>
    <x v="2"/>
    <n v="10514"/>
    <n v="9305.2794032036218"/>
    <n v="1208.720596796378"/>
  </r>
  <r>
    <d v="2024-11-12T00:00:00"/>
    <x v="0"/>
    <s v="Mobile"/>
    <s v="Hannah"/>
    <n v="1"/>
    <n v="887"/>
    <x v="2"/>
    <n v="887"/>
    <n v="646.28137439311627"/>
    <n v="240.71862560688371"/>
  </r>
  <r>
    <d v="2024-12-26T00:00:00"/>
    <x v="2"/>
    <s v="Headphones"/>
    <s v="David"/>
    <n v="13"/>
    <n v="790"/>
    <x v="0"/>
    <n v="10270"/>
    <n v="6402.9516289430831"/>
    <n v="3867.0483710569169"/>
  </r>
  <r>
    <d v="2024-01-01T00:00:00"/>
    <x v="1"/>
    <s v="Smartwatch"/>
    <s v="Grace"/>
    <n v="3"/>
    <n v="1457"/>
    <x v="0"/>
    <n v="4371"/>
    <n v="2782.0789768181198"/>
    <n v="1588.9210231818799"/>
  </r>
  <r>
    <d v="2024-12-13T00:00:00"/>
    <x v="1"/>
    <s v="Printer"/>
    <s v="Hannah"/>
    <n v="4"/>
    <n v="138"/>
    <x v="1"/>
    <n v="552"/>
    <n v="459.26171635442972"/>
    <n v="92.738283645570277"/>
  </r>
  <r>
    <d v="2024-07-08T00:00:00"/>
    <x v="0"/>
    <s v="Headphones"/>
    <s v="Grace"/>
    <n v="11"/>
    <n v="1416"/>
    <x v="0"/>
    <n v="15576"/>
    <n v="9662.2162309678497"/>
    <n v="5913.7837690321503"/>
  </r>
  <r>
    <d v="2024-07-09T00:00:00"/>
    <x v="1"/>
    <s v="Printer"/>
    <s v="Frank"/>
    <n v="2"/>
    <n v="789"/>
    <x v="1"/>
    <n v="1578"/>
    <n v="1376.564897009524"/>
    <n v="201.43510299047631"/>
  </r>
  <r>
    <d v="2024-11-07T00:00:00"/>
    <x v="1"/>
    <s v="Headphones"/>
    <s v="Eva"/>
    <n v="14"/>
    <n v="261"/>
    <x v="0"/>
    <n v="3654"/>
    <n v="2501.1448520017821"/>
    <n v="1152.8551479982179"/>
  </r>
  <r>
    <d v="2024-04-26T00:00:00"/>
    <x v="1"/>
    <s v="Mobile"/>
    <s v="Alice"/>
    <n v="12"/>
    <n v="1454"/>
    <x v="2"/>
    <n v="17448"/>
    <n v="15173.892450008419"/>
    <n v="2274.1075499915819"/>
  </r>
  <r>
    <d v="2024-05-13T00:00:00"/>
    <x v="3"/>
    <s v="Headphones"/>
    <s v="Grace"/>
    <n v="17"/>
    <n v="1227"/>
    <x v="0"/>
    <n v="20859"/>
    <n v="17355.77380774168"/>
    <n v="3503.2261922583202"/>
  </r>
  <r>
    <d v="2024-02-27T00:00:00"/>
    <x v="2"/>
    <s v="Mobile"/>
    <s v="Bob"/>
    <n v="12"/>
    <n v="260"/>
    <x v="2"/>
    <n v="3120"/>
    <n v="2687.4441699690219"/>
    <n v="432.55583003097809"/>
  </r>
  <r>
    <d v="2024-02-13T00:00:00"/>
    <x v="3"/>
    <s v="Monitor"/>
    <s v="Charlie"/>
    <n v="12"/>
    <n v="1922"/>
    <x v="1"/>
    <n v="23064"/>
    <n v="15319.383435294751"/>
    <n v="7744.616564705253"/>
  </r>
  <r>
    <d v="2024-06-21T00:00:00"/>
    <x v="2"/>
    <s v="Laptop"/>
    <s v="Bob"/>
    <n v="1"/>
    <n v="1758"/>
    <x v="2"/>
    <n v="1758"/>
    <n v="1368.968749692076"/>
    <n v="389.03125030792398"/>
  </r>
  <r>
    <d v="2024-06-08T00:00:00"/>
    <x v="0"/>
    <s v="Printer"/>
    <s v="Hannah"/>
    <n v="13"/>
    <n v="1177"/>
    <x v="1"/>
    <n v="15301"/>
    <n v="9610.2021929520397"/>
    <n v="5690.7978070479603"/>
  </r>
  <r>
    <d v="2024-06-21T00:00:00"/>
    <x v="1"/>
    <s v="Smartwatch"/>
    <s v="Frank"/>
    <n v="14"/>
    <n v="1157"/>
    <x v="0"/>
    <n v="16198"/>
    <n v="10701.76316178084"/>
    <n v="5496.2368382191562"/>
  </r>
  <r>
    <d v="2024-11-12T00:00:00"/>
    <x v="2"/>
    <s v="Monitor"/>
    <s v="Frank"/>
    <n v="2"/>
    <n v="341"/>
    <x v="1"/>
    <n v="682"/>
    <n v="472.60599571320512"/>
    <n v="209.39400428679491"/>
  </r>
  <r>
    <d v="2024-10-29T00:00:00"/>
    <x v="3"/>
    <s v="Monitor"/>
    <s v="Bob"/>
    <n v="12"/>
    <n v="1066"/>
    <x v="1"/>
    <n v="12792"/>
    <n v="10518.14240117886"/>
    <n v="2273.857598821136"/>
  </r>
  <r>
    <d v="2024-05-28T00:00:00"/>
    <x v="1"/>
    <s v="Headphones"/>
    <s v="Alice"/>
    <n v="16"/>
    <n v="989"/>
    <x v="0"/>
    <n v="15824"/>
    <n v="9611.7241018330078"/>
    <n v="6212.2758981669922"/>
  </r>
  <r>
    <d v="2024-03-20T00:00:00"/>
    <x v="0"/>
    <s v="Mobile"/>
    <s v="Bob"/>
    <n v="4"/>
    <n v="212"/>
    <x v="2"/>
    <n v="848"/>
    <n v="738.55303676267147"/>
    <n v="109.4469632373285"/>
  </r>
  <r>
    <d v="2024-07-31T00:00:00"/>
    <x v="2"/>
    <s v="Tablet"/>
    <s v="David"/>
    <n v="8"/>
    <n v="1113"/>
    <x v="2"/>
    <n v="8904"/>
    <n v="5531.5303458299568"/>
    <n v="3372.4696541700432"/>
  </r>
  <r>
    <d v="2024-07-21T00:00:00"/>
    <x v="2"/>
    <s v="Printer"/>
    <s v="Hannah"/>
    <n v="2"/>
    <n v="417"/>
    <x v="1"/>
    <n v="834"/>
    <n v="594.59784687522574"/>
    <n v="239.40215312477429"/>
  </r>
  <r>
    <d v="2024-09-08T00:00:00"/>
    <x v="2"/>
    <s v="Monitor"/>
    <s v="Hannah"/>
    <n v="10"/>
    <n v="122"/>
    <x v="1"/>
    <n v="1220"/>
    <n v="761.67880396826172"/>
    <n v="458.32119603173828"/>
  </r>
  <r>
    <d v="2024-08-16T00:00:00"/>
    <x v="1"/>
    <s v="Headphones"/>
    <s v="Bob"/>
    <n v="9"/>
    <n v="1681"/>
    <x v="0"/>
    <n v="15129"/>
    <n v="12567.51434949328"/>
    <n v="2561.4856505067178"/>
  </r>
  <r>
    <d v="2024-06-12T00:00:00"/>
    <x v="3"/>
    <s v="Camera"/>
    <s v="Charlie"/>
    <n v="15"/>
    <n v="923"/>
    <x v="2"/>
    <n v="13845"/>
    <n v="8893.9517420283501"/>
    <n v="4951.0482579716499"/>
  </r>
  <r>
    <d v="2024-08-14T00:00:00"/>
    <x v="3"/>
    <s v="Laptop"/>
    <s v="Charlie"/>
    <n v="13"/>
    <n v="1770"/>
    <x v="2"/>
    <n v="23010"/>
    <n v="19913.476951541739"/>
    <n v="3096.5230484582571"/>
  </r>
  <r>
    <d v="2024-05-26T00:00:00"/>
    <x v="2"/>
    <s v="Laptop"/>
    <s v="Hannah"/>
    <n v="17"/>
    <n v="1241"/>
    <x v="2"/>
    <n v="21097"/>
    <n v="16014.02797533643"/>
    <n v="5082.9720246635716"/>
  </r>
  <r>
    <d v="2024-01-20T00:00:00"/>
    <x v="0"/>
    <s v="Tablet"/>
    <s v="Eva"/>
    <n v="16"/>
    <n v="800"/>
    <x v="2"/>
    <n v="12800"/>
    <n v="11322.135626708719"/>
    <n v="1477.864373291281"/>
  </r>
  <r>
    <d v="2024-02-16T00:00:00"/>
    <x v="0"/>
    <s v="Mobile"/>
    <s v="Charlie"/>
    <n v="2"/>
    <n v="1766"/>
    <x v="2"/>
    <n v="3532"/>
    <n v="2426.866423211563"/>
    <n v="1105.133576788437"/>
  </r>
  <r>
    <d v="2024-08-20T00:00:00"/>
    <x v="3"/>
    <s v="Headphones"/>
    <s v="Bob"/>
    <n v="14"/>
    <n v="1118"/>
    <x v="0"/>
    <n v="15652"/>
    <n v="11524.48692276017"/>
    <n v="4127.5130772398261"/>
  </r>
  <r>
    <d v="2024-10-31T00:00:00"/>
    <x v="0"/>
    <s v="Printer"/>
    <s v="Charlie"/>
    <n v="3"/>
    <n v="1335"/>
    <x v="1"/>
    <n v="4005"/>
    <n v="3237.137725238988"/>
    <n v="767.86227476101203"/>
  </r>
  <r>
    <d v="2024-01-14T00:00:00"/>
    <x v="3"/>
    <s v="Mobile"/>
    <s v="Hannah"/>
    <n v="12"/>
    <n v="1541"/>
    <x v="2"/>
    <n v="18492"/>
    <n v="15710.322292818661"/>
    <n v="2781.677707181339"/>
  </r>
  <r>
    <d v="2024-05-22T00:00:00"/>
    <x v="2"/>
    <s v="Laptop"/>
    <s v="Alice"/>
    <n v="8"/>
    <n v="1236"/>
    <x v="2"/>
    <n v="9888"/>
    <n v="7182.7136650885677"/>
    <n v="2705.2863349114318"/>
  </r>
  <r>
    <d v="2024-01-01T00:00:00"/>
    <x v="3"/>
    <s v="Mobile"/>
    <s v="Grace"/>
    <n v="2"/>
    <n v="1167"/>
    <x v="2"/>
    <n v="2334"/>
    <n v="2025.28126333668"/>
    <n v="308.71873666331948"/>
  </r>
  <r>
    <d v="2024-02-23T00:00:00"/>
    <x v="3"/>
    <s v="Laptop"/>
    <s v="Charlie"/>
    <n v="4"/>
    <m/>
    <x v="2"/>
    <m/>
    <m/>
    <m/>
  </r>
  <r>
    <d v="2024-09-15T00:00:00"/>
    <x v="2"/>
    <s v="Mobile"/>
    <s v="David"/>
    <n v="14"/>
    <n v="975"/>
    <x v="2"/>
    <n v="13650"/>
    <n v="11092.063923527339"/>
    <n v="2557.9360764726589"/>
  </r>
  <r>
    <d v="2024-05-23T00:00:00"/>
    <x v="0"/>
    <s v="Tablet"/>
    <m/>
    <n v="16"/>
    <m/>
    <x v="2"/>
    <m/>
    <m/>
    <m/>
  </r>
  <r>
    <d v="2024-01-12T00:00:00"/>
    <x v="3"/>
    <s v="Smartwatch"/>
    <s v="Eva"/>
    <n v="19"/>
    <n v="1908"/>
    <x v="0"/>
    <n v="36252"/>
    <n v="22853.284191232469"/>
    <n v="13398.715808767531"/>
  </r>
  <r>
    <d v="2024-11-25T00:00:00"/>
    <x v="3"/>
    <s v="Tablet"/>
    <m/>
    <n v="2"/>
    <n v="926"/>
    <x v="2"/>
    <n v="1852"/>
    <n v="1326.030827759193"/>
    <n v="525.96917224080653"/>
  </r>
  <r>
    <d v="2024-08-11T00:00:00"/>
    <x v="2"/>
    <s v="Tablet"/>
    <s v="Bob"/>
    <n v="12"/>
    <n v="1517"/>
    <x v="2"/>
    <n v="18204"/>
    <n v="15729.43356844058"/>
    <n v="2474.5664315594172"/>
  </r>
  <r>
    <d v="2024-09-28T00:00:00"/>
    <x v="0"/>
    <s v="Smartwatch"/>
    <s v="Grace"/>
    <n v="14"/>
    <n v="1990"/>
    <x v="0"/>
    <n v="27860"/>
    <n v="24911.302096230451"/>
    <n v="2948.697903769546"/>
  </r>
  <r>
    <d v="2024-12-23T00:00:00"/>
    <x v="3"/>
    <s v="Smartwatch"/>
    <s v="Bob"/>
    <n v="6"/>
    <n v="951"/>
    <x v="0"/>
    <n v="5706"/>
    <n v="4095.9947953846058"/>
    <n v="1610.005204615394"/>
  </r>
  <r>
    <d v="2024-06-04T00:00:00"/>
    <x v="2"/>
    <s v="Monitor"/>
    <s v="Grace"/>
    <n v="13"/>
    <n v="611"/>
    <x v="1"/>
    <n v="7943"/>
    <n v="6878.0416105038112"/>
    <n v="1064.9583894961891"/>
  </r>
  <r>
    <d v="2024-01-08T00:00:00"/>
    <x v="3"/>
    <s v="Monitor"/>
    <s v="Grace"/>
    <n v="4"/>
    <n v="144"/>
    <x v="1"/>
    <n v="576"/>
    <n v="433.66828312659658"/>
    <n v="142.33171687340339"/>
  </r>
  <r>
    <d v="2024-05-01T00:00:00"/>
    <x v="1"/>
    <s v="Headphones"/>
    <s v="Bob"/>
    <n v="18"/>
    <n v="1231"/>
    <x v="0"/>
    <n v="22158"/>
    <n v="18061.085761367289"/>
    <n v="4096.9142386327148"/>
  </r>
  <r>
    <d v="2024-12-13T00:00:00"/>
    <x v="2"/>
    <s v="Printer"/>
    <s v="David"/>
    <n v="12"/>
    <n v="318"/>
    <x v="1"/>
    <n v="3816"/>
    <n v="2341.5412042190728"/>
    <n v="1474.4587957809269"/>
  </r>
  <r>
    <d v="2024-06-12T00:00:00"/>
    <x v="0"/>
    <s v="Printer"/>
    <s v="David"/>
    <n v="19"/>
    <n v="542"/>
    <x v="1"/>
    <n v="10298"/>
    <n v="7900.5596062474424"/>
    <n v="2397.4403937525581"/>
  </r>
  <r>
    <d v="2024-03-30T00:00:00"/>
    <x v="0"/>
    <s v="Headphones"/>
    <s v="Grace"/>
    <n v="8"/>
    <n v="1953"/>
    <x v="0"/>
    <n v="15624"/>
    <n v="9703.263027408153"/>
    <n v="5920.736972591847"/>
  </r>
  <r>
    <d v="2024-05-15T00:00:00"/>
    <x v="0"/>
    <s v="Tablet"/>
    <s v="David"/>
    <n v="7"/>
    <n v="414"/>
    <x v="2"/>
    <n v="2898"/>
    <n v="1972.336451897349"/>
    <n v="925.66354810265102"/>
  </r>
  <r>
    <d v="2024-07-04T00:00:00"/>
    <x v="0"/>
    <s v="Tablet"/>
    <s v="Grace"/>
    <n v="16"/>
    <n v="276"/>
    <x v="2"/>
    <n v="4416"/>
    <n v="3400.5156189108252"/>
    <n v="1015.484381089175"/>
  </r>
  <r>
    <d v="2024-11-11T00:00:00"/>
    <x v="3"/>
    <s v="Laptop"/>
    <s v="Hannah"/>
    <n v="19"/>
    <n v="327"/>
    <x v="2"/>
    <n v="6213"/>
    <n v="5232.2725442333704"/>
    <n v="980.72745576662965"/>
  </r>
  <r>
    <d v="2024-06-26T00:00:00"/>
    <x v="3"/>
    <s v="Laptop"/>
    <s v="Grace"/>
    <n v="6"/>
    <n v="1826"/>
    <x v="2"/>
    <n v="10956"/>
    <n v="8417.145228454694"/>
    <n v="2538.854771545306"/>
  </r>
  <r>
    <d v="2024-01-28T00:00:00"/>
    <x v="0"/>
    <s v="Printer"/>
    <s v="Hannah"/>
    <n v="-5"/>
    <n v="1795"/>
    <x v="1"/>
    <n v="-8975"/>
    <n v="-7905.6957244527039"/>
    <n v="-1069.3042755472959"/>
  </r>
  <r>
    <d v="2024-08-07T00:00:00"/>
    <x v="0"/>
    <s v="Headphones"/>
    <m/>
    <n v="5"/>
    <n v="366"/>
    <x v="0"/>
    <n v="1830"/>
    <n v="1542.8725466591341"/>
    <n v="287.12745334086623"/>
  </r>
  <r>
    <d v="2024-12-22T00:00:00"/>
    <x v="0"/>
    <s v="Camera"/>
    <s v="Frank"/>
    <n v="16"/>
    <n v="969"/>
    <x v="2"/>
    <n v="15504"/>
    <n v="10029.10416756405"/>
    <n v="5474.8958324359483"/>
  </r>
  <r>
    <d v="2024-02-10T00:00:00"/>
    <x v="3"/>
    <s v="Monitor"/>
    <s v="Alice"/>
    <n v="7"/>
    <m/>
    <x v="1"/>
    <m/>
    <m/>
    <m/>
  </r>
  <r>
    <d v="2024-08-15T00:00:00"/>
    <x v="0"/>
    <s v="Camera"/>
    <s v="Bob"/>
    <n v="5"/>
    <n v="1502"/>
    <x v="2"/>
    <n v="7510"/>
    <n v="6012.0976677221734"/>
    <n v="1497.9023322778271"/>
  </r>
  <r>
    <d v="2024-07-10T00:00:00"/>
    <x v="0"/>
    <s v="Headphones"/>
    <s v="Frank"/>
    <n v="11"/>
    <n v="588"/>
    <x v="0"/>
    <n v="6468"/>
    <n v="5701.6830637346666"/>
    <n v="766.31693626533342"/>
  </r>
  <r>
    <d v="2024-05-24T00:00:00"/>
    <x v="1"/>
    <s v="Laptop"/>
    <s v="Charlie"/>
    <n v="15"/>
    <n v="801"/>
    <x v="2"/>
    <n v="12015"/>
    <n v="10769.221848890171"/>
    <n v="1245.7781511098351"/>
  </r>
  <r>
    <d v="2024-07-19T00:00:00"/>
    <x v="1"/>
    <s v="Printer"/>
    <s v="Bob"/>
    <n v="3"/>
    <n v="786"/>
    <x v="1"/>
    <n v="2358"/>
    <n v="1954.6780862148901"/>
    <n v="403.32191378511021"/>
  </r>
  <r>
    <d v="2024-07-30T00:00:00"/>
    <x v="0"/>
    <s v="Printer"/>
    <m/>
    <n v="5"/>
    <n v="1413"/>
    <x v="1"/>
    <n v="7065"/>
    <n v="5455.1040431754618"/>
    <n v="1609.895956824538"/>
  </r>
  <r>
    <d v="2024-08-07T00:00:00"/>
    <x v="2"/>
    <s v="Laptop"/>
    <s v="Alice"/>
    <n v="5"/>
    <n v="1095"/>
    <x v="2"/>
    <n v="5475"/>
    <n v="4527.7314153946518"/>
    <n v="947.26858460534822"/>
  </r>
  <r>
    <d v="2024-08-27T00:00:00"/>
    <x v="0"/>
    <s v="Camera"/>
    <s v="David"/>
    <n v="9"/>
    <n v="456"/>
    <x v="2"/>
    <n v="4104"/>
    <n v="2798.808679644012"/>
    <n v="1305.191320355988"/>
  </r>
  <r>
    <d v="2024-02-15T00:00:00"/>
    <x v="1"/>
    <s v="Mobile"/>
    <s v="Alice"/>
    <n v="15"/>
    <n v="1780"/>
    <x v="2"/>
    <n v="26700"/>
    <n v="18291.660248349661"/>
    <n v="8408.3397516503428"/>
  </r>
  <r>
    <d v="2024-02-04T00:00:00"/>
    <x v="2"/>
    <s v="Mobile"/>
    <s v="David"/>
    <n v="3"/>
    <n v="1867"/>
    <x v="2"/>
    <n v="5601"/>
    <n v="4460.1032063565517"/>
    <n v="1140.8967936434481"/>
  </r>
  <r>
    <d v="2024-09-09T00:00:00"/>
    <x v="2"/>
    <s v="Laptop"/>
    <s v="Frank"/>
    <n v="6"/>
    <n v="971"/>
    <x v="2"/>
    <n v="5826"/>
    <n v="5019.3942204317636"/>
    <n v="806.60577956823636"/>
  </r>
  <r>
    <d v="2024-03-22T00:00:00"/>
    <x v="0"/>
    <s v="Mobile"/>
    <s v="Eva"/>
    <n v="17"/>
    <n v="303"/>
    <x v="2"/>
    <n v="5151"/>
    <n v="4589.2466036242186"/>
    <n v="561.75339637578054"/>
  </r>
  <r>
    <d v="2024-09-12T00:00:00"/>
    <x v="1"/>
    <s v="Smartwatch"/>
    <s v="Frank"/>
    <n v="8"/>
    <n v="1336"/>
    <x v="0"/>
    <n v="10688"/>
    <n v="7507.255264105218"/>
    <n v="3180.744735894782"/>
  </r>
  <r>
    <d v="2024-07-15T00:00:00"/>
    <x v="1"/>
    <s v="Headphones"/>
    <s v="Eva"/>
    <n v="11"/>
    <n v="651"/>
    <x v="0"/>
    <n v="7161"/>
    <n v="6007.8361485085661"/>
    <n v="1153.1638514914339"/>
  </r>
  <r>
    <d v="2024-10-29T00:00:00"/>
    <x v="2"/>
    <s v="Headphones"/>
    <s v="Alice"/>
    <n v="6"/>
    <n v="1910"/>
    <x v="0"/>
    <n v="11460"/>
    <n v="9803.5629085784039"/>
    <n v="1656.4370914215961"/>
  </r>
  <r>
    <d v="2024-01-10T00:00:00"/>
    <x v="0"/>
    <s v="Laptop"/>
    <s v="David"/>
    <m/>
    <n v="422"/>
    <x v="2"/>
    <m/>
    <m/>
    <m/>
  </r>
  <r>
    <d v="2024-11-07T00:00:00"/>
    <x v="3"/>
    <s v="Tablet"/>
    <s v="Frank"/>
    <n v="10"/>
    <n v="693"/>
    <x v="2"/>
    <n v="6930"/>
    <n v="4880.643523155677"/>
    <n v="2049.356476844323"/>
  </r>
  <r>
    <d v="2024-10-12T00:00:00"/>
    <x v="3"/>
    <s v="Monitor"/>
    <s v="Eva"/>
    <n v="3"/>
    <n v="280"/>
    <x v="1"/>
    <n v="840"/>
    <n v="660.01031844899785"/>
    <n v="179.98968155100209"/>
  </r>
  <r>
    <d v="2024-08-29T00:00:00"/>
    <x v="1"/>
    <s v="Camera"/>
    <s v="Grace"/>
    <n v="14"/>
    <n v="598"/>
    <x v="2"/>
    <n v="8372"/>
    <n v="6491.1018680687948"/>
    <n v="1880.8981319312049"/>
  </r>
  <r>
    <d v="2024-09-07T00:00:00"/>
    <x v="3"/>
    <s v="Laptop"/>
    <s v="Bob"/>
    <n v="14"/>
    <n v="1443"/>
    <x v="2"/>
    <n v="20202"/>
    <n v="15797.10848043021"/>
    <n v="4404.8915195697864"/>
  </r>
  <r>
    <d v="2024-12-30T00:00:00"/>
    <x v="1"/>
    <s v="Mobile"/>
    <s v="Bob"/>
    <n v="10"/>
    <n v="182"/>
    <x v="2"/>
    <n v="1820"/>
    <n v="1430.116076728096"/>
    <n v="389.883923271904"/>
  </r>
  <r>
    <d v="2024-01-05T00:00:00"/>
    <x v="1"/>
    <s v="Camera"/>
    <s v="Frank"/>
    <n v="12"/>
    <n v="402"/>
    <x v="2"/>
    <n v="4824"/>
    <n v="4120.2626138295163"/>
    <n v="703.73738617048366"/>
  </r>
  <r>
    <d v="2024-04-28T00:00:00"/>
    <x v="1"/>
    <s v="Tablet"/>
    <s v="David"/>
    <n v="6"/>
    <n v="361"/>
    <x v="2"/>
    <n v="2166"/>
    <n v="1410.1189673211111"/>
    <n v="755.88103267888891"/>
  </r>
  <r>
    <d v="2024-10-15T00:00:00"/>
    <x v="3"/>
    <s v="Mobile"/>
    <s v="Grace"/>
    <n v="12"/>
    <n v="883"/>
    <x v="2"/>
    <n v="10596"/>
    <n v="7525.1540006790956"/>
    <n v="3070.845999320904"/>
  </r>
  <r>
    <d v="2024-03-05T00:00:00"/>
    <x v="1"/>
    <s v="Printer"/>
    <s v="Frank"/>
    <n v="14"/>
    <n v="1323"/>
    <x v="1"/>
    <n v="18522"/>
    <n v="14369.37719819696"/>
    <n v="4152.6228018030361"/>
  </r>
  <r>
    <d v="2024-05-25T00:00:00"/>
    <x v="2"/>
    <s v="Monitor"/>
    <s v="Alice"/>
    <n v="2"/>
    <n v="1363"/>
    <x v="1"/>
    <n v="2726"/>
    <n v="1867.305424636588"/>
    <n v="858.69457536341179"/>
  </r>
  <r>
    <d v="2024-08-11T00:00:00"/>
    <x v="0"/>
    <s v="Smartwatch"/>
    <s v="Eva"/>
    <n v="9"/>
    <n v="1013"/>
    <x v="0"/>
    <n v="9117"/>
    <n v="8145.546604212057"/>
    <n v="971.45339578794301"/>
  </r>
  <r>
    <d v="2024-08-26T00:00:00"/>
    <x v="0"/>
    <s v="Mobile"/>
    <s v="Hannah"/>
    <n v="10"/>
    <n v="791"/>
    <x v="2"/>
    <n v="7910"/>
    <n v="5370.4555660363267"/>
    <n v="2539.5444339636729"/>
  </r>
  <r>
    <d v="2024-06-25T00:00:00"/>
    <x v="1"/>
    <s v="Smartwatch"/>
    <s v="Alice"/>
    <n v="17"/>
    <n v="1043"/>
    <x v="0"/>
    <n v="17731"/>
    <n v="13136.69690480093"/>
    <n v="4594.3030951990677"/>
  </r>
  <r>
    <d v="2024-09-23T00:00:00"/>
    <x v="0"/>
    <s v="tabllet"/>
    <s v="Bob"/>
    <n v="17"/>
    <n v="782"/>
    <x v="2"/>
    <n v="13294"/>
    <n v="11475.507275312861"/>
    <n v="1818.4927246871409"/>
  </r>
  <r>
    <d v="2024-12-06T00:00:00"/>
    <x v="3"/>
    <s v="Smartwatch"/>
    <s v="Eva"/>
    <n v="3"/>
    <n v="1418"/>
    <x v="0"/>
    <n v="4254"/>
    <n v="2654.57724628698"/>
    <n v="1599.42275371302"/>
  </r>
  <r>
    <d v="2024-10-08T00:00:00"/>
    <x v="3"/>
    <s v="Camera"/>
    <s v="Frank"/>
    <n v="19"/>
    <n v="1635"/>
    <x v="2"/>
    <n v="31065"/>
    <n v="26287.401835517379"/>
    <n v="4777.5981644826206"/>
  </r>
  <r>
    <d v="2024-03-03T00:00:00"/>
    <x v="0"/>
    <s v="Camera"/>
    <s v="Alice"/>
    <n v="1"/>
    <n v="788"/>
    <x v="2"/>
    <n v="788"/>
    <n v="607.78637842561193"/>
    <n v="180.2136215743881"/>
  </r>
  <r>
    <d v="2024-08-04T00:00:00"/>
    <x v="3"/>
    <s v="Camera"/>
    <s v="Charlie"/>
    <n v="12"/>
    <n v="495"/>
    <x v="2"/>
    <n v="5940"/>
    <n v="3620.6712367406521"/>
    <n v="2319.3287632593479"/>
  </r>
  <r>
    <d v="2024-12-07T00:00:00"/>
    <x v="0"/>
    <s v="Camera"/>
    <s v="Hannah"/>
    <n v="7"/>
    <n v="1872"/>
    <x v="2"/>
    <n v="13104"/>
    <n v="11411.93116089976"/>
    <n v="1692.068839100237"/>
  </r>
  <r>
    <d v="2024-11-10T00:00:00"/>
    <x v="0"/>
    <s v="Camera"/>
    <s v="David"/>
    <n v="4"/>
    <n v="1261"/>
    <x v="2"/>
    <n v="5044"/>
    <n v="3085.7126514116298"/>
    <n v="1958.2873485883699"/>
  </r>
  <r>
    <d v="2024-10-09T00:00:00"/>
    <x v="0"/>
    <s v="Mobile"/>
    <s v="Grace"/>
    <n v="10"/>
    <n v="938"/>
    <x v="2"/>
    <n v="9380"/>
    <n v="7077.8228787074186"/>
    <n v="2302.177121292581"/>
  </r>
  <r>
    <d v="2024-06-25T00:00:00"/>
    <x v="1"/>
    <s v="Camera"/>
    <s v="Grace"/>
    <n v="13"/>
    <n v="977"/>
    <x v="2"/>
    <n v="12701"/>
    <n v="7807.4237580271556"/>
    <n v="4893.5762419728444"/>
  </r>
  <r>
    <d v="2024-04-07T00:00:00"/>
    <x v="0"/>
    <m/>
    <s v="David"/>
    <n v="2"/>
    <n v="922"/>
    <x v="2"/>
    <n v="1844"/>
    <n v="1145.7878944760921"/>
    <n v="698.21210552390767"/>
  </r>
  <r>
    <d v="2024-04-14T00:00:00"/>
    <x v="1"/>
    <s v="Camera"/>
    <s v="Charlie"/>
    <n v="10"/>
    <n v="1252"/>
    <x v="2"/>
    <n v="12520"/>
    <n v="10844.33940435264"/>
    <n v="1675.6605956473579"/>
  </r>
  <r>
    <d v="2024-04-08T00:00:00"/>
    <x v="0"/>
    <s v="Smartwatch"/>
    <s v="Bob"/>
    <n v="4"/>
    <n v="148"/>
    <x v="0"/>
    <n v="592"/>
    <n v="491.21061714053002"/>
    <n v="100.78938285947"/>
  </r>
  <r>
    <d v="2024-11-06T00:00:00"/>
    <x v="0"/>
    <s v="Printer"/>
    <s v="Eva"/>
    <n v="18"/>
    <n v="1799"/>
    <x v="1"/>
    <n v="32382"/>
    <n v="21342.40472160482"/>
    <n v="11039.59527839518"/>
  </r>
  <r>
    <d v="2024-01-06T00:00:00"/>
    <x v="0"/>
    <s v="Camera"/>
    <s v="David"/>
    <n v="5"/>
    <n v="888"/>
    <x v="2"/>
    <n v="4440"/>
    <n v="3490.463340321387"/>
    <n v="949.53665967861343"/>
  </r>
  <r>
    <d v="2024-07-15T00:00:00"/>
    <x v="3"/>
    <s v="Tablet"/>
    <s v="Charlie"/>
    <n v="19"/>
    <n v="392"/>
    <x v="2"/>
    <n v="7448"/>
    <n v="6244.4320277027082"/>
    <n v="1203.567972297292"/>
  </r>
  <r>
    <d v="2024-12-16T00:00:00"/>
    <x v="1"/>
    <s v="Camera"/>
    <s v="Frank"/>
    <n v="2"/>
    <n v="1751"/>
    <x v="2"/>
    <n v="3502"/>
    <n v="3035.8039278200281"/>
    <n v="466.19607217997191"/>
  </r>
  <r>
    <d v="2024-05-12T00:00:00"/>
    <x v="1"/>
    <s v="Camera"/>
    <s v="Hannah"/>
    <n v="12"/>
    <n v="635"/>
    <x v="2"/>
    <n v="7620"/>
    <n v="5642.5496347542876"/>
    <n v="1977.450365245712"/>
  </r>
  <r>
    <d v="2024-12-23T00:00:00"/>
    <x v="0"/>
    <m/>
    <s v="Grace"/>
    <n v="17"/>
    <n v="410"/>
    <x v="0"/>
    <n v="6970"/>
    <n v="6058.6722436459186"/>
    <n v="911.32775635408143"/>
  </r>
  <r>
    <d v="2024-09-15T00:00:00"/>
    <x v="0"/>
    <s v="Monitor"/>
    <s v="Hannah"/>
    <n v="10"/>
    <n v="636"/>
    <x v="1"/>
    <n v="6360"/>
    <n v="4784.9779387451072"/>
    <n v="1575.0220612548931"/>
  </r>
  <r>
    <d v="2024-01-23T00:00:00"/>
    <x v="3"/>
    <s v="Headphones"/>
    <s v="Charlie"/>
    <n v="2"/>
    <n v="738"/>
    <x v="0"/>
    <n v="1476"/>
    <n v="1190.347377076281"/>
    <n v="285.65262292371858"/>
  </r>
  <r>
    <d v="2024-02-22T00:00:00"/>
    <x v="3"/>
    <s v="Smartwatch"/>
    <s v="Hannah"/>
    <n v="6"/>
    <n v="333"/>
    <x v="0"/>
    <n v="1998"/>
    <n v="1785.630198039428"/>
    <n v="212.36980196057169"/>
  </r>
  <r>
    <d v="2024-06-13T00:00:00"/>
    <x v="3"/>
    <s v="Tablet"/>
    <s v="Bob"/>
    <n v="8"/>
    <n v="-100"/>
    <x v="2"/>
    <n v="-800"/>
    <n v="-536.62842940668645"/>
    <n v="-263.37157059331349"/>
  </r>
  <r>
    <d v="2024-07-20T00:00:00"/>
    <x v="1"/>
    <s v="Headphones"/>
    <s v="Bob"/>
    <n v="19"/>
    <n v="704"/>
    <x v="0"/>
    <n v="13376"/>
    <n v="8701.8421766637675"/>
    <n v="4674.1578233362316"/>
  </r>
  <r>
    <d v="2024-03-23T00:00:00"/>
    <x v="1"/>
    <s v="Laptop"/>
    <s v="Alice"/>
    <n v="11"/>
    <n v="193"/>
    <x v="2"/>
    <n v="2123"/>
    <n v="1491.6317896284061"/>
    <n v="631.36821037159439"/>
  </r>
  <r>
    <d v="2024-05-24T00:00:00"/>
    <x v="1"/>
    <s v="Laptop"/>
    <s v="David"/>
    <n v="12"/>
    <n v="426"/>
    <x v="2"/>
    <n v="5112"/>
    <n v="3319.322341243866"/>
    <n v="1792.677658756134"/>
  </r>
  <r>
    <d v="2024-03-25T00:00:00"/>
    <x v="0"/>
    <s v="Monitor"/>
    <s v="Alice"/>
    <n v="9"/>
    <n v="324"/>
    <x v="1"/>
    <n v="2916"/>
    <n v="1998.1856224306241"/>
    <n v="917.81437756937589"/>
  </r>
  <r>
    <d v="2024-03-18T00:00:00"/>
    <x v="1"/>
    <s v="Tablet"/>
    <s v="Hannah"/>
    <n v="2"/>
    <n v="1066"/>
    <x v="2"/>
    <n v="2132"/>
    <n v="1754.4134128278381"/>
    <n v="377.58658717216173"/>
  </r>
  <r>
    <d v="2024-12-31T00:00:00"/>
    <x v="2"/>
    <s v="Smartwatch"/>
    <s v="Grace"/>
    <n v="8"/>
    <n v="989"/>
    <x v="0"/>
    <n v="7912"/>
    <n v="5880.6510516627677"/>
    <n v="2031.3489483372321"/>
  </r>
  <r>
    <d v="2024-01-01T00:00:00"/>
    <x v="2"/>
    <s v="Mobile"/>
    <s v="Charlie"/>
    <n v="11"/>
    <n v="1915"/>
    <x v="2"/>
    <n v="21065"/>
    <n v="15009.07346056053"/>
    <n v="6055.9265394394679"/>
  </r>
  <r>
    <d v="2024-02-20T00:00:00"/>
    <x v="3"/>
    <s v="Tablet"/>
    <s v="Eva"/>
    <n v="4"/>
    <n v="110"/>
    <x v="2"/>
    <n v="440"/>
    <n v="312.67156869640468"/>
    <n v="127.32843130359529"/>
  </r>
  <r>
    <d v="2024-06-21T00:00:00"/>
    <x v="1"/>
    <s v="Printer"/>
    <s v="Hannah"/>
    <n v="10"/>
    <n v="1452"/>
    <x v="1"/>
    <n v="14520"/>
    <n v="9559.372570664631"/>
    <n v="4960.627429335369"/>
  </r>
  <r>
    <d v="2024-07-23T00:00:00"/>
    <x v="2"/>
    <s v="Headphones"/>
    <s v="Eva"/>
    <n v="16"/>
    <n v="1135"/>
    <x v="0"/>
    <n v="18160"/>
    <n v="13333.497602955549"/>
    <n v="4826.5023970444508"/>
  </r>
  <r>
    <d v="2024-09-16T00:00:00"/>
    <x v="3"/>
    <s v="Headphones"/>
    <s v="Bob"/>
    <n v="8"/>
    <n v="134"/>
    <x v="0"/>
    <n v="1072"/>
    <n v="844.08279567411739"/>
    <n v="227.91720432588261"/>
  </r>
  <r>
    <d v="2024-10-14T00:00:00"/>
    <x v="1"/>
    <s v="Camera"/>
    <s v="Eva"/>
    <n v="4"/>
    <n v="546"/>
    <x v="2"/>
    <n v="2184"/>
    <n v="1401.57424757634"/>
    <n v="782.42575242366001"/>
  </r>
  <r>
    <d v="2024-02-03T00:00:00"/>
    <x v="0"/>
    <s v="Laptop"/>
    <s v="Eva"/>
    <n v="10"/>
    <n v="1575"/>
    <x v="2"/>
    <n v="15750"/>
    <n v="14046.54077044676"/>
    <n v="1703.459229553237"/>
  </r>
  <r>
    <d v="2024-12-13T00:00:00"/>
    <x v="2"/>
    <s v="Monitor"/>
    <s v="Grace"/>
    <n v="12"/>
    <n v="1863"/>
    <x v="1"/>
    <n v="22356"/>
    <n v="16386.598194058821"/>
    <n v="5969.4018059411828"/>
  </r>
  <r>
    <d v="2024-04-04T00:00:00"/>
    <x v="0"/>
    <s v="Headphones"/>
    <s v="Eva"/>
    <n v="14"/>
    <m/>
    <x v="0"/>
    <m/>
    <m/>
    <m/>
  </r>
  <r>
    <d v="2024-03-12T00:00:00"/>
    <x v="1"/>
    <s v="Tablet"/>
    <s v="Hannah"/>
    <n v="16"/>
    <n v="540"/>
    <x v="2"/>
    <n v="8640"/>
    <n v="5533.0359378098883"/>
    <n v="3106.9640621901121"/>
  </r>
  <r>
    <d v="2024-02-08T00:00:00"/>
    <x v="2"/>
    <s v="Headphones"/>
    <s v="Charlie"/>
    <n v="18"/>
    <n v="752"/>
    <x v="0"/>
    <n v="13536"/>
    <n v="11237.110542643621"/>
    <n v="2298.8894573563789"/>
  </r>
  <r>
    <d v="2024-06-02T00:00:00"/>
    <x v="1"/>
    <s v="Monitor"/>
    <s v="Eva"/>
    <n v="12"/>
    <n v="1658"/>
    <x v="1"/>
    <n v="19896"/>
    <n v="15624.15799608431"/>
    <n v="4271.8420039156899"/>
  </r>
  <r>
    <d v="2024-09-06T00:00:00"/>
    <x v="0"/>
    <s v="Monitor"/>
    <s v="Frank"/>
    <n v="18"/>
    <n v="694"/>
    <x v="1"/>
    <n v="12492"/>
    <n v="10568.472294400741"/>
    <n v="1923.5277055992649"/>
  </r>
  <r>
    <d v="2024-06-10T00:00:00"/>
    <x v="2"/>
    <s v="Monitor"/>
    <s v="Eva"/>
    <n v="7"/>
    <n v="328"/>
    <x v="1"/>
    <n v="2296"/>
    <n v="1791.3469533315449"/>
    <n v="504.65304666845492"/>
  </r>
  <r>
    <d v="2024-04-27T00:00:00"/>
    <x v="0"/>
    <s v="Tablet"/>
    <s v="Eva"/>
    <n v="7"/>
    <n v="443"/>
    <x v="2"/>
    <n v="3101"/>
    <n v="2756.3269199057831"/>
    <n v="344.67308009421731"/>
  </r>
  <r>
    <d v="2024-09-15T00:00:00"/>
    <x v="1"/>
    <s v="Mobile"/>
    <s v="Alice"/>
    <n v="9"/>
    <n v="1203"/>
    <x v="2"/>
    <n v="10827"/>
    <n v="8532.5372800432706"/>
    <n v="2294.462719956729"/>
  </r>
  <r>
    <d v="2024-11-01T00:00:00"/>
    <x v="1"/>
    <s v="Camera"/>
    <s v="Charlie"/>
    <n v="1"/>
    <n v="1476"/>
    <x v="2"/>
    <n v="1476"/>
    <n v="1233.022706702531"/>
    <n v="242.97729329746949"/>
  </r>
  <r>
    <d v="2024-09-24T00:00:00"/>
    <x v="0"/>
    <s v="Laptop"/>
    <s v="Hannah"/>
    <n v="6"/>
    <n v="1519"/>
    <x v="2"/>
    <n v="9114"/>
    <n v="7867.8840824607332"/>
    <n v="1246.115917539267"/>
  </r>
  <r>
    <d v="2024-02-23T00:00:00"/>
    <x v="2"/>
    <s v="Headphones"/>
    <s v="Bob"/>
    <n v="6"/>
    <n v="1413"/>
    <x v="0"/>
    <n v="8478"/>
    <n v="6904.271600676685"/>
    <n v="1573.728399323315"/>
  </r>
  <r>
    <d v="2024-08-23T00:00:00"/>
    <x v="0"/>
    <s v="Tablet"/>
    <s v="Alice"/>
    <n v="12"/>
    <n v="1578"/>
    <x v="2"/>
    <n v="18936"/>
    <n v="14339.683598604001"/>
    <n v="4596.3164013959986"/>
  </r>
  <r>
    <d v="2024-08-09T00:00:00"/>
    <x v="1"/>
    <s v="Smartwatch"/>
    <s v="Hannah"/>
    <n v="12"/>
    <n v="1966"/>
    <x v="0"/>
    <n v="23592"/>
    <n v="16086.090156655981"/>
    <n v="7505.9098433440176"/>
  </r>
  <r>
    <d v="2024-09-07T00:00:00"/>
    <x v="3"/>
    <s v="Laptop"/>
    <s v="David"/>
    <n v="10"/>
    <n v="1794"/>
    <x v="2"/>
    <n v="17940"/>
    <n v="15362.879245295489"/>
    <n v="2577.1207547045069"/>
  </r>
  <r>
    <d v="2024-11-08T00:00:00"/>
    <x v="1"/>
    <s v="Mobile"/>
    <s v="Charlie"/>
    <n v="6"/>
    <n v="1088"/>
    <x v="2"/>
    <n v="6528"/>
    <n v="4857.9644500655077"/>
    <n v="1670.0355499344921"/>
  </r>
  <r>
    <d v="2024-04-21T00:00:00"/>
    <x v="0"/>
    <s v="Tablet"/>
    <s v="Frank"/>
    <n v="17"/>
    <n v="1251"/>
    <x v="2"/>
    <n v="21267"/>
    <n v="16720.380554840311"/>
    <n v="4546.6194451596893"/>
  </r>
  <r>
    <d v="2024-09-11T00:00:00"/>
    <x v="2"/>
    <s v="Printer"/>
    <s v="Charlie"/>
    <n v="19"/>
    <n v="1825"/>
    <x v="1"/>
    <n v="34675"/>
    <n v="21629.154060306271"/>
    <n v="13045.845939693731"/>
  </r>
  <r>
    <d v="2024-10-29T00:00:00"/>
    <x v="2"/>
    <s v="Printer"/>
    <s v="David"/>
    <n v="18"/>
    <n v="1008"/>
    <x v="1"/>
    <n v="18144"/>
    <n v="13593.58272204407"/>
    <n v="4550.4172779559303"/>
  </r>
  <r>
    <d v="2024-07-25T00:00:00"/>
    <x v="0"/>
    <s v="Camera"/>
    <s v="David"/>
    <n v="6"/>
    <n v="1666"/>
    <x v="2"/>
    <n v="9996"/>
    <n v="8091.2351428867114"/>
    <n v="1904.7648571132891"/>
  </r>
  <r>
    <d v="2024-08-16T00:00:00"/>
    <x v="0"/>
    <s v="Camera"/>
    <s v="David"/>
    <n v="19"/>
    <n v="1482"/>
    <x v="2"/>
    <n v="28158"/>
    <n v="21828.689051974528"/>
    <n v="6329.310948025468"/>
  </r>
  <r>
    <d v="2024-12-06T00:00:00"/>
    <x v="2"/>
    <s v="Mobile"/>
    <s v="Grace"/>
    <n v="10"/>
    <n v="626"/>
    <x v="2"/>
    <n v="6260"/>
    <n v="4598.3860196538344"/>
    <n v="1661.613980346166"/>
  </r>
  <r>
    <d v="2024-03-06T00:00:00"/>
    <x v="1"/>
    <s v="Mobile"/>
    <s v="Bob"/>
    <n v="8"/>
    <n v="1436"/>
    <x v="2"/>
    <n v="11488"/>
    <n v="7662.8199044460598"/>
    <n v="3825.1800955539402"/>
  </r>
  <r>
    <d v="2024-03-15T00:00:00"/>
    <x v="2"/>
    <s v="Camera"/>
    <s v="Eva"/>
    <m/>
    <n v="174"/>
    <x v="2"/>
    <m/>
    <m/>
    <m/>
  </r>
  <r>
    <d v="2024-04-12T00:00:00"/>
    <x v="1"/>
    <s v="Headphones"/>
    <s v="Charlie"/>
    <n v="7"/>
    <n v="1669"/>
    <x v="0"/>
    <n v="11683"/>
    <n v="9465.4183129230478"/>
    <n v="2217.5816870769522"/>
  </r>
  <r>
    <d v="2024-07-10T00:00:00"/>
    <x v="0"/>
    <s v="Headphones"/>
    <s v="Hannah"/>
    <n v="1"/>
    <n v="1994"/>
    <x v="0"/>
    <n v="1994"/>
    <n v="1330.510876045729"/>
    <n v="663.48912395427146"/>
  </r>
  <r>
    <d v="2024-09-08T00:00:00"/>
    <x v="0"/>
    <s v="Tablet"/>
    <s v="Grace"/>
    <n v="18"/>
    <n v="295"/>
    <x v="2"/>
    <n v="5310"/>
    <n v="4176.4104981870487"/>
    <n v="1133.5895018129511"/>
  </r>
  <r>
    <d v="2024-08-13T00:00:00"/>
    <x v="1"/>
    <m/>
    <m/>
    <n v="12"/>
    <n v="1966"/>
    <x v="0"/>
    <n v="23592"/>
    <n v="18329.126926627781"/>
    <n v="5262.873073372215"/>
  </r>
  <r>
    <d v="2024-10-20T00:00:00"/>
    <x v="0"/>
    <s v="Tablet"/>
    <s v="Eva"/>
    <n v="16"/>
    <n v="128"/>
    <x v="2"/>
    <n v="2048"/>
    <n v="1825.024499335289"/>
    <n v="222.97550066471101"/>
  </r>
  <r>
    <d v="2024-11-01T00:00:00"/>
    <x v="1"/>
    <s v="Smartwatch"/>
    <s v="Eva"/>
    <n v="10"/>
    <n v="805"/>
    <x v="0"/>
    <n v="8050"/>
    <n v="4976.7881496004766"/>
    <n v="3073.211850399523"/>
  </r>
  <r>
    <d v="2024-04-07T00:00:00"/>
    <x v="3"/>
    <s v="Mobile"/>
    <s v="Frank"/>
    <n v="10"/>
    <n v="1120"/>
    <x v="2"/>
    <n v="11200"/>
    <n v="7083.2919605147663"/>
    <n v="4116.7080394852337"/>
  </r>
  <r>
    <d v="2024-12-03T00:00:00"/>
    <x v="2"/>
    <s v="Laptop"/>
    <s v="David"/>
    <n v="14"/>
    <n v="115"/>
    <x v="2"/>
    <n v="1610"/>
    <n v="1210.4383139069009"/>
    <n v="399.5616860930993"/>
  </r>
  <r>
    <d v="2024-10-12T00:00:00"/>
    <x v="3"/>
    <s v="Tablet"/>
    <s v="Bob"/>
    <n v="10"/>
    <n v="1546"/>
    <x v="2"/>
    <n v="15460"/>
    <n v="11720.73536999016"/>
    <n v="3739.2646300098422"/>
  </r>
  <r>
    <d v="2024-11-30T00:00:00"/>
    <x v="1"/>
    <s v="Tablet"/>
    <s v="Frank"/>
    <n v="10"/>
    <n v="1712"/>
    <x v="2"/>
    <n v="17120"/>
    <n v="10477.068455623359"/>
    <n v="6642.9315443766409"/>
  </r>
  <r>
    <d v="2024-12-12T00:00:00"/>
    <x v="2"/>
    <s v="Smartwatch"/>
    <s v="Alice"/>
    <n v="11"/>
    <n v="904"/>
    <x v="0"/>
    <n v="9944"/>
    <n v="8430.0918915079183"/>
    <n v="1513.908108492082"/>
  </r>
  <r>
    <d v="2024-11-03T00:00:00"/>
    <x v="1"/>
    <s v="Monitor"/>
    <s v="Grace"/>
    <n v="2"/>
    <n v="1716"/>
    <x v="1"/>
    <n v="3432"/>
    <n v="2568.5673136467422"/>
    <n v="863.4326863532583"/>
  </r>
  <r>
    <d v="2024-09-05T00:00:00"/>
    <x v="2"/>
    <s v="Mobile"/>
    <s v="Grace"/>
    <n v="8"/>
    <n v="1528"/>
    <x v="2"/>
    <n v="12224"/>
    <n v="8605.6119476801468"/>
    <n v="3618.3880523198532"/>
  </r>
  <r>
    <d v="2024-06-14T00:00:00"/>
    <x v="2"/>
    <s v="Mobile"/>
    <s v="Bob"/>
    <n v="7"/>
    <n v="1039"/>
    <x v="2"/>
    <n v="7273"/>
    <n v="5059.5070421045984"/>
    <n v="2213.492957895402"/>
  </r>
  <r>
    <d v="2024-11-30T00:00:00"/>
    <x v="2"/>
    <s v="Printer"/>
    <s v="Eva"/>
    <n v="8"/>
    <n v="1759"/>
    <x v="1"/>
    <n v="14072"/>
    <n v="12079.71655764913"/>
    <n v="1992.2834423508671"/>
  </r>
  <r>
    <d v="2024-01-30T00:00:00"/>
    <x v="2"/>
    <s v="Monitor"/>
    <s v="Hannah"/>
    <n v="1"/>
    <n v="1654"/>
    <x v="1"/>
    <n v="1654"/>
    <n v="1090.018848321663"/>
    <n v="563.9811516783368"/>
  </r>
  <r>
    <d v="2024-09-03T00:00:00"/>
    <x v="1"/>
    <s v="Smartwatch"/>
    <s v="Grace"/>
    <n v="2"/>
    <n v="1066"/>
    <x v="0"/>
    <n v="2132"/>
    <n v="1381.803164394697"/>
    <n v="750.19683560530325"/>
  </r>
  <r>
    <d v="2024-04-15T00:00:00"/>
    <x v="2"/>
    <s v="Mobile"/>
    <s v="Bob"/>
    <n v="18"/>
    <n v="1737"/>
    <x v="2"/>
    <n v="31266"/>
    <n v="20759.171968408551"/>
    <n v="10506.828031591451"/>
  </r>
  <r>
    <d v="2024-02-20T00:00:00"/>
    <x v="2"/>
    <s v="Monitor"/>
    <s v="Grace"/>
    <n v="15"/>
    <n v="1200"/>
    <x v="1"/>
    <n v="18000"/>
    <n v="14175.121757320599"/>
    <n v="3824.8782426793969"/>
  </r>
  <r>
    <d v="2024-03-21T00:00:00"/>
    <x v="3"/>
    <s v="Camera"/>
    <s v="Grace"/>
    <n v="1"/>
    <n v="328"/>
    <x v="2"/>
    <n v="328"/>
    <n v="276.59559619383549"/>
    <n v="51.40440380616451"/>
  </r>
  <r>
    <d v="2024-05-12T00:00:00"/>
    <x v="0"/>
    <s v="Monitor"/>
    <s v="David"/>
    <n v="5"/>
    <n v="1061"/>
    <x v="1"/>
    <n v="5305"/>
    <n v="3709.7525911638868"/>
    <n v="1595.247408836113"/>
  </r>
  <r>
    <d v="2024-10-11T00:00:00"/>
    <x v="0"/>
    <s v="Headphones"/>
    <s v="Alice"/>
    <n v="2"/>
    <n v="1420"/>
    <x v="0"/>
    <n v="2840"/>
    <n v="1851.789622393821"/>
    <n v="988.21037760617946"/>
  </r>
  <r>
    <d v="2024-05-17T00:00:00"/>
    <x v="3"/>
    <s v="Printer"/>
    <m/>
    <n v="3"/>
    <n v="1633"/>
    <x v="1"/>
    <n v="4899"/>
    <n v="3246.8526681637841"/>
    <n v="1652.1473318362159"/>
  </r>
  <r>
    <d v="2024-07-02T00:00:00"/>
    <x v="3"/>
    <s v="Camera"/>
    <s v="Alice"/>
    <n v="19"/>
    <n v="814"/>
    <x v="2"/>
    <n v="15466"/>
    <n v="12152.488895567119"/>
    <n v="3313.5111044328751"/>
  </r>
  <r>
    <d v="2024-11-25T00:00:00"/>
    <x v="1"/>
    <s v="Laptop"/>
    <s v="Grace"/>
    <n v="18"/>
    <n v="1083"/>
    <x v="2"/>
    <n v="19494"/>
    <n v="13135.263209946061"/>
    <n v="6358.7367900539411"/>
  </r>
  <r>
    <d v="2024-09-29T00:00:00"/>
    <x v="1"/>
    <s v="Tablet"/>
    <s v="Frank"/>
    <n v="18"/>
    <n v="672"/>
    <x v="2"/>
    <n v="12096"/>
    <n v="10441.07450352784"/>
    <n v="1654.9254964721599"/>
  </r>
  <r>
    <d v="2024-12-05T00:00:00"/>
    <x v="1"/>
    <s v="Printer"/>
    <s v="Hannah"/>
    <n v="14"/>
    <n v="1661"/>
    <x v="1"/>
    <n v="23254"/>
    <n v="14677.166866665129"/>
    <n v="8576.8331333348651"/>
  </r>
  <r>
    <d v="2024-03-09T00:00:00"/>
    <x v="3"/>
    <s v="Laptop"/>
    <s v="Eva"/>
    <n v="8"/>
    <n v="1706"/>
    <x v="2"/>
    <n v="13648"/>
    <n v="8321.3297256322021"/>
    <n v="5326.6702743677979"/>
  </r>
  <r>
    <d v="2024-02-03T00:00:00"/>
    <x v="3"/>
    <s v="Tablet"/>
    <s v="Grace"/>
    <n v="12"/>
    <n v="714"/>
    <x v="2"/>
    <n v="8568"/>
    <n v="5367.9674434179069"/>
    <n v="3200.0325565820931"/>
  </r>
  <r>
    <d v="2024-09-18T00:00:00"/>
    <x v="2"/>
    <s v="Headphones"/>
    <s v="Alice"/>
    <n v="10"/>
    <n v="425"/>
    <x v="0"/>
    <n v="4250"/>
    <n v="3628.1949784925591"/>
    <n v="621.80502150744132"/>
  </r>
  <r>
    <d v="2024-02-22T00:00:00"/>
    <x v="1"/>
    <s v="Monitor"/>
    <s v="Alice"/>
    <n v="17"/>
    <n v="1486"/>
    <x v="1"/>
    <n v="25262"/>
    <n v="20092.60803773818"/>
    <n v="5169.3919622618232"/>
  </r>
  <r>
    <d v="2024-07-23T00:00:00"/>
    <x v="1"/>
    <s v="Mobile"/>
    <s v="Alice"/>
    <n v="11"/>
    <n v="1792"/>
    <x v="2"/>
    <n v="19712"/>
    <n v="17490.918662402171"/>
    <n v="2221.0813375978291"/>
  </r>
  <r>
    <d v="2024-05-05T00:00:00"/>
    <x v="1"/>
    <s v="Camera"/>
    <s v="Grace"/>
    <m/>
    <n v="974"/>
    <x v="2"/>
    <m/>
    <m/>
    <m/>
  </r>
  <r>
    <d v="2024-08-22T00:00:00"/>
    <x v="0"/>
    <s v="Smartwatch"/>
    <s v="Bob"/>
    <n v="4"/>
    <n v="458"/>
    <x v="0"/>
    <n v="1832"/>
    <n v="1216.087899154131"/>
    <n v="615.91210084586919"/>
  </r>
  <r>
    <d v="2024-02-12T00:00:00"/>
    <x v="2"/>
    <s v="Camera"/>
    <s v="Frank"/>
    <n v="1"/>
    <n v="1829"/>
    <x v="2"/>
    <n v="1829"/>
    <n v="1405.7558138114539"/>
    <n v="423.24418618854588"/>
  </r>
  <r>
    <d v="2024-08-27T00:00:00"/>
    <x v="1"/>
    <s v="Headphones"/>
    <s v="Bob"/>
    <n v="15"/>
    <n v="1910"/>
    <x v="0"/>
    <n v="28650"/>
    <n v="21812.634059094398"/>
    <n v="6837.3659409055981"/>
  </r>
  <r>
    <d v="2024-04-20T00:00:00"/>
    <x v="1"/>
    <s v="Laptop"/>
    <s v="Eva"/>
    <n v="13"/>
    <n v="423"/>
    <x v="2"/>
    <n v="5499"/>
    <n v="4274.4122733258218"/>
    <n v="1224.5877266741779"/>
  </r>
  <r>
    <d v="2024-09-05T00:00:00"/>
    <x v="1"/>
    <s v="Smartwatch"/>
    <s v="Grace"/>
    <n v="8"/>
    <n v="1821"/>
    <x v="0"/>
    <n v="14568"/>
    <n v="10259.66199337079"/>
    <n v="4308.338006629212"/>
  </r>
  <r>
    <d v="2024-05-30T00:00:00"/>
    <x v="0"/>
    <s v="Mobile"/>
    <s v="Alice"/>
    <n v="4"/>
    <n v="1449"/>
    <x v="2"/>
    <n v="5796"/>
    <n v="3487.8535993359651"/>
    <n v="2308.1464006640349"/>
  </r>
  <r>
    <d v="2024-07-01T00:00:00"/>
    <x v="0"/>
    <s v="Headphones"/>
    <s v="Frank"/>
    <n v="10"/>
    <n v="1748"/>
    <x v="0"/>
    <n v="17480"/>
    <n v="10671.705988020591"/>
    <n v="6808.2940119794057"/>
  </r>
  <r>
    <d v="2024-12-01T00:00:00"/>
    <x v="3"/>
    <s v="Smartwatch"/>
    <s v="Frank"/>
    <n v="19"/>
    <n v="1948"/>
    <x v="0"/>
    <n v="37012"/>
    <n v="29578.063497051011"/>
    <n v="7433.9365029489854"/>
  </r>
  <r>
    <d v="2024-04-04T00:00:00"/>
    <x v="2"/>
    <s v="Headphones"/>
    <s v="Charlie"/>
    <n v="18"/>
    <n v="264"/>
    <x v="0"/>
    <n v="4752"/>
    <n v="3597.156673450454"/>
    <n v="1154.843326549546"/>
  </r>
  <r>
    <d v="2024-01-08T00:00:00"/>
    <x v="3"/>
    <s v="Monitor"/>
    <s v="Eva"/>
    <n v="5"/>
    <n v="1696"/>
    <x v="1"/>
    <n v="8480"/>
    <n v="7176.6526445528407"/>
    <n v="1303.3473554471591"/>
  </r>
  <r>
    <d v="2024-12-25T00:00:00"/>
    <x v="2"/>
    <s v="Headphones"/>
    <s v="Hannah"/>
    <n v="19"/>
    <n v="1727"/>
    <x v="0"/>
    <n v="32813"/>
    <n v="22645.004608911349"/>
    <n v="10167.995391088651"/>
  </r>
  <r>
    <d v="2024-07-02T00:00:00"/>
    <x v="0"/>
    <s v="Mobile"/>
    <s v="Hannah"/>
    <n v="16"/>
    <n v="897"/>
    <x v="2"/>
    <n v="14352"/>
    <n v="12122.29726462255"/>
    <n v="2229.702735377452"/>
  </r>
  <r>
    <d v="2024-10-07T00:00:00"/>
    <x v="4"/>
    <s v="Printer"/>
    <s v="Frank"/>
    <n v="1"/>
    <n v="554"/>
    <x v="1"/>
    <n v="554"/>
    <n v="403.11667291564652"/>
    <n v="150.88332708435351"/>
  </r>
  <r>
    <d v="2024-07-13T00:00:00"/>
    <x v="3"/>
    <s v="Tablet"/>
    <s v="Grace"/>
    <n v="12"/>
    <n v="1276"/>
    <x v="2"/>
    <n v="15312"/>
    <n v="9631.3937038456552"/>
    <n v="5680.6062961543448"/>
  </r>
  <r>
    <d v="2024-12-17T00:00:00"/>
    <x v="1"/>
    <s v="Smartwatch"/>
    <s v="Alice"/>
    <n v="2"/>
    <n v="1860"/>
    <x v="0"/>
    <n v="3720"/>
    <n v="3323.3493038512152"/>
    <n v="396.65069614878479"/>
  </r>
  <r>
    <d v="2024-07-13T00:00:00"/>
    <x v="3"/>
    <s v="Monitor"/>
    <s v="Alice"/>
    <n v="8"/>
    <n v="1250"/>
    <x v="1"/>
    <n v="10000"/>
    <n v="7535.807787436559"/>
    <n v="2464.192212563441"/>
  </r>
  <r>
    <d v="2024-06-03T00:00:00"/>
    <x v="0"/>
    <s v="Mobile"/>
    <s v="Frank"/>
    <n v="18"/>
    <n v="292"/>
    <x v="2"/>
    <n v="5256"/>
    <n v="4146.1617208158277"/>
    <n v="1109.8382791841721"/>
  </r>
  <r>
    <d v="2024-04-02T00:00:00"/>
    <x v="0"/>
    <s v="Headphones"/>
    <s v="Bob"/>
    <n v="16"/>
    <n v="726"/>
    <x v="0"/>
    <n v="11616"/>
    <n v="9307.1940354788458"/>
    <n v="2308.8059645211538"/>
  </r>
  <r>
    <d v="2024-06-08T00:00:00"/>
    <x v="4"/>
    <s v="Monitor"/>
    <s v="Eva"/>
    <n v="5"/>
    <n v="1897"/>
    <x v="1"/>
    <n v="9485"/>
    <n v="6722.2440637115888"/>
    <n v="2762.7559362884108"/>
  </r>
  <r>
    <d v="2024-03-01T00:00:00"/>
    <x v="3"/>
    <s v="Mobile"/>
    <s v="Alice"/>
    <n v="13"/>
    <n v="629"/>
    <x v="2"/>
    <n v="8177"/>
    <n v="6739.9617214538093"/>
    <n v="1437.0382785461909"/>
  </r>
  <r>
    <d v="2024-05-01T00:00:00"/>
    <x v="2"/>
    <s v="Printer"/>
    <s v="Frank"/>
    <n v="19"/>
    <n v="1133"/>
    <x v="1"/>
    <n v="21527"/>
    <n v="18536.4678598834"/>
    <n v="2990.532140116597"/>
  </r>
  <r>
    <d v="2024-02-20T00:00:00"/>
    <x v="3"/>
    <s v="Monitor"/>
    <s v="Alice"/>
    <n v="3"/>
    <n v="191"/>
    <x v="1"/>
    <n v="573"/>
    <n v="410.3574412455423"/>
    <n v="162.6425587544577"/>
  </r>
  <r>
    <d v="2024-10-03T00:00:00"/>
    <x v="2"/>
    <s v="Monitor"/>
    <s v="Hannah"/>
    <n v="8"/>
    <n v="238"/>
    <x v="1"/>
    <n v="1904"/>
    <n v="1517.6789064439399"/>
    <n v="386.32109355605962"/>
  </r>
  <r>
    <d v="2024-01-05T00:00:00"/>
    <x v="3"/>
    <s v="Tablet"/>
    <s v="Frank"/>
    <n v="12"/>
    <n v="580"/>
    <x v="2"/>
    <n v="6960"/>
    <n v="5756.8745444644128"/>
    <n v="1203.125455535587"/>
  </r>
  <r>
    <d v="2024-04-01T00:00:00"/>
    <x v="3"/>
    <s v="Camera"/>
    <s v="Eva"/>
    <n v="2"/>
    <n v="548"/>
    <x v="2"/>
    <n v="1096"/>
    <n v="720.11339516016994"/>
    <n v="375.88660483983011"/>
  </r>
  <r>
    <d v="2024-06-18T00:00:00"/>
    <x v="0"/>
    <s v="Smartwatch"/>
    <s v="Frank"/>
    <n v="11"/>
    <n v="1456"/>
    <x v="0"/>
    <n v="16016"/>
    <n v="11207.65766630574"/>
    <n v="4808.342333694256"/>
  </r>
  <r>
    <d v="2024-11-12T00:00:00"/>
    <x v="1"/>
    <s v="Tablet"/>
    <s v="Charlie"/>
    <m/>
    <n v="968"/>
    <x v="2"/>
    <m/>
    <m/>
    <m/>
  </r>
  <r>
    <d v="2024-01-22T00:00:00"/>
    <x v="1"/>
    <s v="Laptop"/>
    <s v="Frank"/>
    <n v="18"/>
    <n v="439"/>
    <x v="2"/>
    <n v="7902"/>
    <n v="6168.7953853467916"/>
    <n v="1733.204614653208"/>
  </r>
  <r>
    <d v="2024-11-21T00:00:00"/>
    <x v="2"/>
    <s v="Smartwatch"/>
    <s v="Frank"/>
    <n v="13"/>
    <n v="1175"/>
    <x v="0"/>
    <n v="15275"/>
    <n v="12835.296991099071"/>
    <n v="2439.7030089009281"/>
  </r>
  <r>
    <d v="2024-01-01T00:00:00"/>
    <x v="1"/>
    <s v="Tablet"/>
    <s v="Grace"/>
    <n v="5"/>
    <n v="1830"/>
    <x v="2"/>
    <n v="9150"/>
    <n v="7166.7521123256429"/>
    <n v="1983.2478876743569"/>
  </r>
  <r>
    <d v="2024-05-12T00:00:00"/>
    <x v="3"/>
    <s v="Headphones"/>
    <s v="Hannah"/>
    <n v="12"/>
    <n v="565"/>
    <x v="0"/>
    <n v="6780"/>
    <n v="4433.680312207307"/>
    <n v="2346.319687792693"/>
  </r>
  <r>
    <d v="2024-08-20T00:00:00"/>
    <x v="3"/>
    <s v="Smartwatch"/>
    <s v="Eva"/>
    <n v="2"/>
    <n v="817"/>
    <x v="0"/>
    <n v="1634"/>
    <n v="1248.229834301012"/>
    <n v="385.77016569898751"/>
  </r>
  <r>
    <d v="2024-01-12T00:00:00"/>
    <x v="0"/>
    <s v="Smartwatch"/>
    <s v="Grace"/>
    <n v="5"/>
    <n v="898"/>
    <x v="0"/>
    <n v="4490"/>
    <n v="3818.6562980650742"/>
    <n v="671.34370193492623"/>
  </r>
  <r>
    <d v="2024-12-11T00:00:00"/>
    <x v="0"/>
    <s v="Mobile"/>
    <s v="Frank"/>
    <n v="7"/>
    <n v="574"/>
    <x v="2"/>
    <n v="4018"/>
    <n v="2775.7044691926849"/>
    <n v="1242.2955308073149"/>
  </r>
  <r>
    <d v="2024-02-15T00:00:00"/>
    <x v="1"/>
    <s v="Headphones"/>
    <s v="Eva"/>
    <n v="12"/>
    <n v="500"/>
    <x v="0"/>
    <n v="6000"/>
    <n v="5098.7727040547516"/>
    <n v="901.22729594524753"/>
  </r>
  <r>
    <d v="2024-02-03T00:00:00"/>
    <x v="2"/>
    <s v="Laptop"/>
    <s v="Charlie"/>
    <n v="16"/>
    <n v="1562"/>
    <x v="2"/>
    <n v="24992"/>
    <n v="20877.991532393859"/>
    <n v="4114.0084676061379"/>
  </r>
  <r>
    <d v="2024-03-18T00:00:00"/>
    <x v="1"/>
    <s v="Camera"/>
    <s v="Eva"/>
    <n v="8"/>
    <n v="704"/>
    <x v="2"/>
    <n v="5632"/>
    <n v="3415.9332689208459"/>
    <n v="2216.0667310791541"/>
  </r>
  <r>
    <d v="2024-08-05T00:00:00"/>
    <x v="1"/>
    <s v="Monitor"/>
    <s v="Alice"/>
    <n v="9"/>
    <n v="1031"/>
    <x v="1"/>
    <n v="9279"/>
    <n v="6233.9703659698116"/>
    <n v="3045.0296340301879"/>
  </r>
  <r>
    <d v="2024-10-27T00:00:00"/>
    <x v="1"/>
    <s v="Printer"/>
    <s v="Grace"/>
    <n v="15"/>
    <n v="1096"/>
    <x v="1"/>
    <n v="16440"/>
    <n v="12541.79194539438"/>
    <n v="3898.2080546056168"/>
  </r>
  <r>
    <d v="2024-03-13T00:00:00"/>
    <x v="1"/>
    <s v="Tablet"/>
    <s v="Eva"/>
    <n v="5"/>
    <n v="1021"/>
    <x v="2"/>
    <n v="5105"/>
    <n v="4162.0310021844953"/>
    <n v="942.96899781550474"/>
  </r>
  <r>
    <d v="2024-10-08T00:00:00"/>
    <x v="3"/>
    <s v="Mobile"/>
    <s v="Hannah"/>
    <n v="13"/>
    <n v="920"/>
    <x v="2"/>
    <n v="11960"/>
    <n v="10335.34352604235"/>
    <n v="1624.65647395765"/>
  </r>
  <r>
    <d v="2024-09-05T00:00:00"/>
    <x v="2"/>
    <s v="Tablet"/>
    <s v="Charlie"/>
    <n v="5"/>
    <n v="756"/>
    <x v="2"/>
    <n v="3780"/>
    <n v="2994.9419889157921"/>
    <n v="785.05801108420792"/>
  </r>
  <r>
    <d v="2024-02-16T00:00:00"/>
    <x v="3"/>
    <s v="Laptop"/>
    <s v="David"/>
    <n v="11"/>
    <n v="697"/>
    <x v="2"/>
    <n v="7667"/>
    <n v="5475.0296282910649"/>
    <n v="2191.9703717089351"/>
  </r>
  <r>
    <d v="2024-04-30T00:00:00"/>
    <x v="2"/>
    <s v="Monitor"/>
    <s v="Frank"/>
    <n v="10"/>
    <n v="1632"/>
    <x v="1"/>
    <n v="16320"/>
    <n v="10695.934804185899"/>
    <n v="5624.0651958141043"/>
  </r>
  <r>
    <d v="2024-08-01T00:00:00"/>
    <x v="0"/>
    <s v="Laptop"/>
    <s v="Eva"/>
    <n v="13"/>
    <n v="1276"/>
    <x v="2"/>
    <n v="16588"/>
    <n v="13735.04243112324"/>
    <n v="2852.9575688767559"/>
  </r>
  <r>
    <d v="2024-08-26T00:00:00"/>
    <x v="1"/>
    <s v="Smartwatch"/>
    <s v="Frank"/>
    <n v="9"/>
    <n v="613"/>
    <x v="0"/>
    <n v="5517"/>
    <n v="3652.444158837352"/>
    <n v="1864.555841162648"/>
  </r>
  <r>
    <d v="2024-02-25T00:00:00"/>
    <x v="3"/>
    <s v="Printer"/>
    <s v="Bob"/>
    <n v="14"/>
    <n v="1626"/>
    <x v="1"/>
    <n v="22764"/>
    <n v="18407.634117210971"/>
    <n v="4356.3658827890285"/>
  </r>
  <r>
    <d v="2024-12-15T00:00:00"/>
    <x v="2"/>
    <s v="Laptop"/>
    <s v="Alice"/>
    <n v="18"/>
    <n v="1977"/>
    <x v="2"/>
    <n v="35586"/>
    <n v="23286.178984731541"/>
    <n v="12299.821015268461"/>
  </r>
  <r>
    <d v="2024-04-16T00:00:00"/>
    <x v="0"/>
    <s v="Tablet"/>
    <s v="Grace"/>
    <n v="15"/>
    <n v="1895"/>
    <x v="2"/>
    <n v="28425"/>
    <n v="17831.461708513962"/>
    <n v="10593.53829148604"/>
  </r>
  <r>
    <d v="2024-11-14T00:00:00"/>
    <x v="0"/>
    <s v="Headphones"/>
    <s v="Alice"/>
    <n v="10"/>
    <n v="1799"/>
    <x v="0"/>
    <n v="17990"/>
    <n v="12149.187907344171"/>
    <n v="5840.8120926558349"/>
  </r>
  <r>
    <d v="2024-02-17T00:00:00"/>
    <x v="1"/>
    <s v="Headphones"/>
    <s v="Bob"/>
    <n v="7"/>
    <n v="1129"/>
    <x v="0"/>
    <n v="7903"/>
    <n v="5417.3400759194938"/>
    <n v="2485.6599240805058"/>
  </r>
  <r>
    <d v="2024-03-01T00:00:00"/>
    <x v="2"/>
    <s v="Smartwatch"/>
    <s v="Bob"/>
    <n v="8"/>
    <n v="599"/>
    <x v="0"/>
    <n v="4792"/>
    <n v="3805.6278517498831"/>
    <n v="986.37214825011733"/>
  </r>
  <r>
    <d v="2024-12-02T00:00:00"/>
    <x v="3"/>
    <m/>
    <s v="Grace"/>
    <n v="3"/>
    <n v="1784"/>
    <x v="2"/>
    <n v="5352"/>
    <n v="3469.5143352466489"/>
    <n v="1882.4856647533511"/>
  </r>
  <r>
    <d v="2024-01-26T00:00:00"/>
    <x v="1"/>
    <s v="Tablet"/>
    <s v="Eva"/>
    <n v="15"/>
    <n v="816"/>
    <x v="2"/>
    <n v="12240"/>
    <n v="10760.086984487851"/>
    <n v="1479.9130155121461"/>
  </r>
  <r>
    <d v="2024-10-18T00:00:00"/>
    <x v="3"/>
    <s v="Tablet"/>
    <s v="Bob"/>
    <n v="16"/>
    <n v="1241"/>
    <x v="2"/>
    <n v="19856"/>
    <n v="15215.821693203659"/>
    <n v="4640.1783067963443"/>
  </r>
  <r>
    <d v="2024-09-13T00:00:00"/>
    <x v="0"/>
    <s v="Laptop"/>
    <s v="David"/>
    <n v="4"/>
    <n v="1608"/>
    <x v="2"/>
    <n v="6432"/>
    <n v="4806.5018677834514"/>
    <n v="1625.498132216549"/>
  </r>
  <r>
    <d v="2024-01-08T00:00:00"/>
    <x v="3"/>
    <s v="Printer"/>
    <s v="Frank"/>
    <n v="6"/>
    <n v="700"/>
    <x v="1"/>
    <n v="4200"/>
    <n v="3067.7150880285431"/>
    <n v="1132.2849119714569"/>
  </r>
  <r>
    <d v="2024-04-22T00:00:00"/>
    <x v="3"/>
    <s v="Tablet"/>
    <s v="Frank"/>
    <n v="1"/>
    <n v="765"/>
    <x v="2"/>
    <n v="765"/>
    <n v="589.03500912506888"/>
    <n v="175.96499087493109"/>
  </r>
  <r>
    <d v="2024-12-20T00:00:00"/>
    <x v="1"/>
    <s v="Mobile"/>
    <s v="Charlie"/>
    <n v="4"/>
    <n v="1802"/>
    <x v="2"/>
    <n v="7208"/>
    <n v="4373.3393217906378"/>
    <n v="2834.6606782093618"/>
  </r>
  <r>
    <d v="2024-09-09T00:00:00"/>
    <x v="3"/>
    <s v="Camera"/>
    <s v="Hannah"/>
    <n v="11"/>
    <n v="567"/>
    <x v="2"/>
    <n v="6237"/>
    <n v="5594.7506154749217"/>
    <n v="642.24938452507831"/>
  </r>
  <r>
    <d v="2024-06-28T00:00:00"/>
    <x v="1"/>
    <s v="Laptop"/>
    <s v="Bob"/>
    <n v="12"/>
    <n v="260"/>
    <x v="2"/>
    <n v="3120"/>
    <n v="2393.8428161178331"/>
    <n v="726.15718388216692"/>
  </r>
  <r>
    <d v="2024-07-25T00:00:00"/>
    <x v="0"/>
    <s v="Mobile"/>
    <s v="Bob"/>
    <n v="5"/>
    <n v="369"/>
    <x v="2"/>
    <n v="1845"/>
    <n v="1126.480433684588"/>
    <n v="718.51956631541157"/>
  </r>
  <r>
    <d v="2024-10-29T00:00:00"/>
    <x v="1"/>
    <s v="Smartwatch"/>
    <s v="David"/>
    <n v="16"/>
    <n v="1179"/>
    <x v="0"/>
    <n v="18864"/>
    <n v="14657.201260515971"/>
    <n v="4206.7987394840256"/>
  </r>
  <r>
    <d v="2024-05-06T00:00:00"/>
    <x v="1"/>
    <s v="Headphones"/>
    <s v="Alice"/>
    <n v="13"/>
    <n v="327"/>
    <x v="0"/>
    <n v="4251"/>
    <n v="3108.0065404468269"/>
    <n v="1142.9934595531729"/>
  </r>
  <r>
    <d v="2024-02-25T00:00:00"/>
    <x v="2"/>
    <s v="Smartwatch"/>
    <s v="Alice"/>
    <n v="13"/>
    <n v="948"/>
    <x v="0"/>
    <n v="12324"/>
    <n v="7483.2721721150456"/>
    <n v="4840.7278278849544"/>
  </r>
  <r>
    <d v="2024-08-01T00:00:00"/>
    <x v="3"/>
    <s v="Headphones"/>
    <s v="Frank"/>
    <n v="17"/>
    <n v="248"/>
    <x v="0"/>
    <n v="4216"/>
    <n v="3698.8174857287722"/>
    <n v="517.18251427122823"/>
  </r>
  <r>
    <d v="2024-01-14T00:00:00"/>
    <x v="0"/>
    <s v="Smartwatch"/>
    <s v="Frank"/>
    <n v="7"/>
    <n v="1169"/>
    <x v="0"/>
    <n v="8183"/>
    <n v="4935.7406142540049"/>
    <n v="3247.2593857459951"/>
  </r>
  <r>
    <d v="2024-01-28T00:00:00"/>
    <x v="1"/>
    <s v="Tablet"/>
    <s v="Eva"/>
    <n v="8"/>
    <n v="1267"/>
    <x v="2"/>
    <n v="10136"/>
    <n v="7838.7921950500786"/>
    <n v="2297.207804949921"/>
  </r>
  <r>
    <d v="2024-03-18T00:00:00"/>
    <x v="0"/>
    <s v="Mobile"/>
    <s v="Grace"/>
    <n v="13"/>
    <n v="1873"/>
    <x v="2"/>
    <n v="24349"/>
    <n v="21634.992874185278"/>
    <n v="2714.0071258147218"/>
  </r>
  <r>
    <d v="2024-08-03T00:00:00"/>
    <x v="2"/>
    <s v="Headphones"/>
    <s v="Hannah"/>
    <n v="16"/>
    <n v="1907"/>
    <x v="0"/>
    <n v="30512"/>
    <n v="20482.136523583831"/>
    <n v="10029.863476416171"/>
  </r>
  <r>
    <d v="2024-12-30T00:00:00"/>
    <x v="3"/>
    <s v="Laptop"/>
    <s v="David"/>
    <n v="4"/>
    <n v="731"/>
    <x v="2"/>
    <n v="2924"/>
    <n v="1977.3658839264831"/>
    <n v="946.63411607351691"/>
  </r>
  <r>
    <d v="2024-06-02T00:00:00"/>
    <x v="1"/>
    <s v="Mobile"/>
    <s v="Grace"/>
    <n v="8"/>
    <n v="1463"/>
    <x v="2"/>
    <n v="11704"/>
    <n v="7023.8856890004063"/>
    <n v="4680.1143109995937"/>
  </r>
  <r>
    <d v="2024-01-14T00:00:00"/>
    <x v="3"/>
    <s v="Laptop"/>
    <s v="Grace"/>
    <n v="16"/>
    <n v="512"/>
    <x v="2"/>
    <n v="8192"/>
    <n v="5078.2646402776618"/>
    <n v="3113.7353597223382"/>
  </r>
  <r>
    <d v="2024-07-05T00:00:00"/>
    <x v="2"/>
    <s v="Mobile"/>
    <s v="Charlie"/>
    <n v="10"/>
    <n v="1855"/>
    <x v="2"/>
    <n v="18550"/>
    <n v="11379.8040104265"/>
    <n v="7170.1959895735044"/>
  </r>
  <r>
    <d v="2024-11-07T00:00:00"/>
    <x v="2"/>
    <s v="Mobile"/>
    <s v="Grace"/>
    <n v="12"/>
    <n v="619"/>
    <x v="2"/>
    <n v="7428"/>
    <n v="6290.0072625712874"/>
    <n v="1137.9927374287131"/>
  </r>
  <r>
    <d v="2024-01-07T00:00:00"/>
    <x v="0"/>
    <s v="Smartwatch"/>
    <s v="Charlie"/>
    <n v="12"/>
    <n v="1467"/>
    <x v="0"/>
    <n v="17604"/>
    <n v="14981.378454393111"/>
    <n v="2622.6215456068949"/>
  </r>
  <r>
    <d v="2024-01-03T00:00:00"/>
    <x v="1"/>
    <s v="Headphones"/>
    <s v="Grace"/>
    <n v="5"/>
    <n v="486"/>
    <x v="0"/>
    <n v="2430"/>
    <n v="1987.764361370517"/>
    <n v="442.23563862948299"/>
  </r>
  <r>
    <d v="2024-04-20T00:00:00"/>
    <x v="0"/>
    <s v="Headphones"/>
    <s v="David"/>
    <n v="16"/>
    <n v="1596"/>
    <x v="0"/>
    <n v="25536"/>
    <n v="18023.908991890941"/>
    <n v="7512.0910081090624"/>
  </r>
  <r>
    <d v="2024-08-25T00:00:00"/>
    <x v="2"/>
    <s v="Printer"/>
    <s v="Charlie"/>
    <n v="1"/>
    <n v="374"/>
    <x v="1"/>
    <n v="374"/>
    <n v="316.54474927752813"/>
    <n v="57.455250722471931"/>
  </r>
  <r>
    <d v="2024-12-28T00:00:00"/>
    <x v="3"/>
    <s v="Mobile"/>
    <s v="Alice"/>
    <n v="9"/>
    <n v="452"/>
    <x v="2"/>
    <n v="4068"/>
    <n v="3099.5408245044132"/>
    <n v="968.45917549558681"/>
  </r>
  <r>
    <d v="2024-08-26T00:00:00"/>
    <x v="0"/>
    <s v="Tablet"/>
    <s v="Charlie"/>
    <n v="12"/>
    <n v="1189"/>
    <x v="2"/>
    <n v="14268"/>
    <n v="9863.3697074446627"/>
    <n v="4404.6302925553373"/>
  </r>
  <r>
    <d v="2024-09-30T00:00:00"/>
    <x v="0"/>
    <s v="Tablet"/>
    <s v="Charlie"/>
    <m/>
    <n v="1202"/>
    <x v="2"/>
    <m/>
    <m/>
    <m/>
  </r>
  <r>
    <d v="2024-10-20T00:00:00"/>
    <x v="3"/>
    <s v="Laptop"/>
    <s v="David"/>
    <n v="3"/>
    <n v="697"/>
    <x v="2"/>
    <n v="2091"/>
    <n v="1295.8561220172289"/>
    <n v="795.14387798277085"/>
  </r>
  <r>
    <d v="2024-08-14T00:00:00"/>
    <x v="0"/>
    <s v="Laptop"/>
    <s v="David"/>
    <n v="5"/>
    <n v="1759"/>
    <x v="2"/>
    <n v="8795"/>
    <n v="7770.1415699896479"/>
    <n v="1024.8584300103521"/>
  </r>
  <r>
    <d v="2024-01-15T00:00:00"/>
    <x v="3"/>
    <s v="Smartwatch"/>
    <s v="Charlie"/>
    <n v="2"/>
    <n v="1325"/>
    <x v="0"/>
    <n v="2650"/>
    <n v="2082.197551794713"/>
    <n v="567.80244820528742"/>
  </r>
  <r>
    <d v="2024-07-10T00:00:00"/>
    <x v="1"/>
    <s v="Mobile"/>
    <s v="Hannah"/>
    <n v="14"/>
    <n v="1785"/>
    <x v="2"/>
    <n v="24990"/>
    <n v="20476.062384544501"/>
    <n v="4513.9376154554957"/>
  </r>
  <r>
    <d v="2024-04-28T00:00:00"/>
    <x v="3"/>
    <s v="Laptop"/>
    <s v="Bob"/>
    <n v="2"/>
    <n v="657"/>
    <x v="2"/>
    <n v="1314"/>
    <n v="1055.109164619515"/>
    <n v="258.89083538048448"/>
  </r>
  <r>
    <d v="2024-01-28T00:00:00"/>
    <x v="1"/>
    <s v="Laptop"/>
    <s v="Hannah"/>
    <n v="13"/>
    <n v="212"/>
    <x v="2"/>
    <n v="2756"/>
    <n v="2205.6956872019468"/>
    <n v="550.30431279805316"/>
  </r>
  <r>
    <d v="2024-07-20T00:00:00"/>
    <x v="3"/>
    <s v="Camera"/>
    <s v="David"/>
    <n v="7"/>
    <n v="1214"/>
    <x v="2"/>
    <n v="8498"/>
    <n v="5142.8051564266643"/>
    <n v="3355.1948435733361"/>
  </r>
  <r>
    <d v="2024-02-08T00:00:00"/>
    <x v="2"/>
    <s v="Mobile"/>
    <s v="Hannah"/>
    <n v="10"/>
    <n v="240"/>
    <x v="2"/>
    <n v="2400"/>
    <n v="1818.2673214450899"/>
    <n v="581.73267855491031"/>
  </r>
  <r>
    <d v="2024-09-29T00:00:00"/>
    <x v="2"/>
    <s v="Monitor"/>
    <s v="Hannah"/>
    <n v="13"/>
    <n v="1412"/>
    <x v="1"/>
    <n v="18356"/>
    <n v="15538.59388699509"/>
    <n v="2817.406113004909"/>
  </r>
  <r>
    <d v="2024-08-18T00:00:00"/>
    <x v="1"/>
    <s v="Smartwatch"/>
    <s v="Eva"/>
    <n v="16"/>
    <n v="829"/>
    <x v="0"/>
    <n v="13264"/>
    <n v="8135.5494135370373"/>
    <n v="5128.4505864629627"/>
  </r>
  <r>
    <d v="2024-03-26T00:00:00"/>
    <x v="1"/>
    <s v="Laptop"/>
    <s v="Eva"/>
    <n v="14"/>
    <n v="688"/>
    <x v="2"/>
    <n v="9632"/>
    <n v="8542.1363601635476"/>
    <n v="1089.863639836452"/>
  </r>
  <r>
    <d v="2024-05-05T00:00:00"/>
    <x v="2"/>
    <s v="Smartwatch"/>
    <s v="Alice"/>
    <n v="11"/>
    <n v="510"/>
    <x v="0"/>
    <n v="5610"/>
    <n v="4079.8607464990801"/>
    <n v="1530.1392535009199"/>
  </r>
  <r>
    <d v="2024-10-26T00:00:00"/>
    <x v="1"/>
    <s v="Headphones"/>
    <s v="Grace"/>
    <n v="10"/>
    <n v="476"/>
    <x v="0"/>
    <n v="4760"/>
    <n v="3269.9707626493582"/>
    <n v="1490.029237350642"/>
  </r>
  <r>
    <d v="2024-01-25T00:00:00"/>
    <x v="3"/>
    <s v="Smartwatch"/>
    <s v="Charlie"/>
    <n v="6"/>
    <n v="1507"/>
    <x v="0"/>
    <n v="9042"/>
    <n v="6867.8186255899336"/>
    <n v="2174.1813744100659"/>
  </r>
  <r>
    <d v="2024-05-24T00:00:00"/>
    <x v="4"/>
    <s v="Monitor"/>
    <s v="Bob"/>
    <n v="4"/>
    <n v="1969"/>
    <x v="1"/>
    <n v="7876"/>
    <n v="6618.708883035526"/>
    <n v="1257.291116964474"/>
  </r>
  <r>
    <d v="2024-01-13T00:00:00"/>
    <x v="2"/>
    <s v="Tablet"/>
    <s v="Alice"/>
    <n v="1"/>
    <n v="1275"/>
    <x v="2"/>
    <n v="1275"/>
    <n v="946.59381112650385"/>
    <n v="328.40618887349609"/>
  </r>
  <r>
    <d v="2024-07-30T00:00:00"/>
    <x v="0"/>
    <s v="Monitor"/>
    <s v="Charlie"/>
    <n v="7"/>
    <n v="1958"/>
    <x v="1"/>
    <n v="13706"/>
    <n v="10876.14552098793"/>
    <n v="2829.8544790120741"/>
  </r>
  <r>
    <d v="2024-01-25T00:00:00"/>
    <x v="3"/>
    <s v="Tablet"/>
    <s v="Hannah"/>
    <n v="9"/>
    <n v="850"/>
    <x v="2"/>
    <n v="7650"/>
    <n v="5737.3035201544444"/>
    <n v="1912.696479845556"/>
  </r>
  <r>
    <d v="2024-03-08T00:00:00"/>
    <x v="1"/>
    <s v="Smartwatch"/>
    <s v="David"/>
    <n v="8"/>
    <n v="726"/>
    <x v="0"/>
    <n v="5808"/>
    <n v="4584.7287799715559"/>
    <n v="1223.2712200284441"/>
  </r>
  <r>
    <d v="2024-03-07T00:00:00"/>
    <x v="0"/>
    <s v="Tablet"/>
    <s v="Eva"/>
    <n v="5"/>
    <n v="1442"/>
    <x v="2"/>
    <n v="7210"/>
    <n v="4624.5608695703249"/>
    <n v="2585.4391304296751"/>
  </r>
  <r>
    <d v="2024-08-20T00:00:00"/>
    <x v="0"/>
    <s v="Headphones"/>
    <s v="Frank"/>
    <n v="19"/>
    <n v="1492"/>
    <x v="0"/>
    <n v="28348"/>
    <n v="17337.60890141303"/>
    <n v="11010.39109858697"/>
  </r>
  <r>
    <d v="2024-04-18T00:00:00"/>
    <x v="3"/>
    <s v="Mobile"/>
    <s v="Bob"/>
    <n v="10"/>
    <n v="1729"/>
    <x v="2"/>
    <n v="17290"/>
    <n v="11084.10759135238"/>
    <n v="6205.8924086476236"/>
  </r>
  <r>
    <d v="2024-05-25T00:00:00"/>
    <x v="3"/>
    <s v="Tablet"/>
    <s v="Hannah"/>
    <n v="11"/>
    <n v="1094"/>
    <x v="2"/>
    <n v="12034"/>
    <n v="8252.3328698657151"/>
    <n v="3781.6671301342849"/>
  </r>
  <r>
    <d v="2024-04-20T00:00:00"/>
    <x v="0"/>
    <s v="Tablet"/>
    <s v="Frank"/>
    <n v="15"/>
    <n v="1683"/>
    <x v="2"/>
    <n v="25245"/>
    <n v="17065.792138950739"/>
    <n v="8179.2078610492636"/>
  </r>
  <r>
    <d v="2024-08-15T00:00:00"/>
    <x v="0"/>
    <s v="Smartwatch"/>
    <s v="Eva"/>
    <n v="6"/>
    <n v="802"/>
    <x v="0"/>
    <n v="4812"/>
    <n v="3775.2671347701098"/>
    <n v="1036.73286522989"/>
  </r>
  <r>
    <d v="2024-04-20T00:00:00"/>
    <x v="2"/>
    <s v="Headphones"/>
    <s v="Hannah"/>
    <n v="15"/>
    <n v="561"/>
    <x v="0"/>
    <n v="8415"/>
    <n v="6199.8928512268913"/>
    <n v="2215.1071487731092"/>
  </r>
  <r>
    <d v="2024-02-03T00:00:00"/>
    <x v="1"/>
    <s v="Printer"/>
    <s v="Grace"/>
    <n v="5"/>
    <n v="111"/>
    <x v="1"/>
    <n v="555"/>
    <n v="339.46219484097003"/>
    <n v="215.53780515903"/>
  </r>
  <r>
    <d v="2024-04-20T00:00:00"/>
    <x v="2"/>
    <s v="Printer"/>
    <s v="Grace"/>
    <n v="19"/>
    <n v="1279"/>
    <x v="1"/>
    <n v="24301"/>
    <n v="14834.782916823009"/>
    <n v="9466.2170831769872"/>
  </r>
  <r>
    <d v="2024-09-20T00:00:00"/>
    <x v="3"/>
    <s v="Printer"/>
    <s v="Frank"/>
    <n v="19"/>
    <n v="1807"/>
    <x v="1"/>
    <n v="34333"/>
    <n v="21532.847363042649"/>
    <n v="12800.152636957349"/>
  </r>
  <r>
    <d v="2024-08-23T00:00:00"/>
    <x v="2"/>
    <s v="Printer"/>
    <s v="David"/>
    <n v="10"/>
    <n v="576"/>
    <x v="1"/>
    <n v="5760"/>
    <n v="4066.124239988696"/>
    <n v="1693.875760011304"/>
  </r>
  <r>
    <d v="2024-03-23T00:00:00"/>
    <x v="2"/>
    <s v="Mobile"/>
    <s v="Hannah"/>
    <n v="12"/>
    <n v="1038"/>
    <x v="2"/>
    <n v="12456"/>
    <n v="7496.7044511612639"/>
    <n v="4959.2955488387361"/>
  </r>
  <r>
    <d v="2024-02-11T00:00:00"/>
    <x v="2"/>
    <m/>
    <s v="Charlie"/>
    <n v="4"/>
    <n v="500"/>
    <x v="1"/>
    <n v="2000"/>
    <n v="1496.3923592580841"/>
    <n v="503.6076407419157"/>
  </r>
  <r>
    <d v="2024-04-10T00:00:00"/>
    <x v="2"/>
    <s v="Smartwatch"/>
    <s v="Hannah"/>
    <n v="18"/>
    <n v="907"/>
    <x v="0"/>
    <n v="16326"/>
    <n v="11562.0878818541"/>
    <n v="4763.9121181458959"/>
  </r>
  <r>
    <d v="2024-01-06T00:00:00"/>
    <x v="1"/>
    <s v="Smartwatch"/>
    <s v="David"/>
    <n v="16"/>
    <n v="276"/>
    <x v="0"/>
    <n v="4416"/>
    <n v="3385.4486374736071"/>
    <n v="1030.5513625263929"/>
  </r>
  <r>
    <d v="2024-06-28T00:00:00"/>
    <x v="1"/>
    <s v="Camera"/>
    <s v="Hannah"/>
    <n v="8"/>
    <n v="1464"/>
    <x v="2"/>
    <n v="11712"/>
    <n v="9559.8915213917298"/>
    <n v="2152.1084786082702"/>
  </r>
  <r>
    <d v="2024-10-08T00:00:00"/>
    <x v="0"/>
    <s v="Headphones"/>
    <s v="Frank"/>
    <n v="4"/>
    <n v="156"/>
    <x v="0"/>
    <n v="624"/>
    <n v="421.38211105782881"/>
    <n v="202.61788894217119"/>
  </r>
  <r>
    <d v="2024-11-15T00:00:00"/>
    <x v="3"/>
    <s v="Printer"/>
    <s v="David"/>
    <n v="12"/>
    <n v="1978"/>
    <x v="1"/>
    <n v="23736"/>
    <n v="15360.16123803594"/>
    <n v="8375.8387619640598"/>
  </r>
  <r>
    <d v="2024-08-13T00:00:00"/>
    <x v="2"/>
    <s v="Mobile"/>
    <s v="Eva"/>
    <n v="2"/>
    <n v="1975"/>
    <x v="2"/>
    <n v="3950"/>
    <n v="2699.4934638166142"/>
    <n v="1250.5065361833861"/>
  </r>
  <r>
    <d v="2024-11-10T00:00:00"/>
    <x v="0"/>
    <s v="Headphones"/>
    <s v="Bob"/>
    <n v="4"/>
    <n v="547"/>
    <x v="0"/>
    <n v="2188"/>
    <n v="1313.957352633231"/>
    <n v="874.04264736676919"/>
  </r>
  <r>
    <d v="2024-12-30T00:00:00"/>
    <x v="0"/>
    <s v="Printer"/>
    <s v="David"/>
    <n v="5"/>
    <n v="302"/>
    <x v="1"/>
    <n v="1510"/>
    <n v="960.36586885317865"/>
    <n v="549.63413114682135"/>
  </r>
  <r>
    <d v="2024-08-16T00:00:00"/>
    <x v="0"/>
    <s v="Mobile"/>
    <s v="Hannah"/>
    <n v="3"/>
    <n v="1820"/>
    <x v="2"/>
    <n v="5460"/>
    <n v="4505.860135718216"/>
    <n v="954.13986428178396"/>
  </r>
  <r>
    <d v="2024-10-15T00:00:00"/>
    <x v="1"/>
    <s v="Headphones"/>
    <s v="Eva"/>
    <n v="9"/>
    <n v="1756"/>
    <x v="0"/>
    <n v="15804"/>
    <n v="10538.77180118823"/>
    <n v="5265.2281988117684"/>
  </r>
  <r>
    <d v="2024-05-29T00:00:00"/>
    <x v="2"/>
    <s v="Smartwatch"/>
    <s v="Bob"/>
    <n v="18"/>
    <n v="837"/>
    <x v="0"/>
    <n v="15066"/>
    <n v="13533.635484867489"/>
    <n v="1532.3645151325049"/>
  </r>
  <r>
    <d v="2024-10-03T00:00:00"/>
    <x v="2"/>
    <s v="Smartwatch"/>
    <s v="Grace"/>
    <n v="11"/>
    <n v="301"/>
    <x v="0"/>
    <n v="3311"/>
    <n v="2153.3070501716652"/>
    <n v="1157.692949828335"/>
  </r>
  <r>
    <d v="2024-07-16T00:00:00"/>
    <x v="3"/>
    <s v="Monitor"/>
    <s v="Charlie"/>
    <n v="3"/>
    <n v="1453"/>
    <x v="1"/>
    <n v="4359"/>
    <n v="3646.8767724449958"/>
    <n v="712.12322755500418"/>
  </r>
  <r>
    <d v="2024-03-10T00:00:00"/>
    <x v="2"/>
    <s v="Laptop"/>
    <s v="Frank"/>
    <n v="2"/>
    <n v="462"/>
    <x v="2"/>
    <n v="924"/>
    <n v="749.83832759003815"/>
    <n v="174.16167240996191"/>
  </r>
  <r>
    <d v="2024-04-21T00:00:00"/>
    <x v="2"/>
    <s v="Monitor"/>
    <s v="Hannah"/>
    <n v="9"/>
    <n v="991"/>
    <x v="1"/>
    <n v="8919"/>
    <n v="6213.3289745335951"/>
    <n v="2705.6710254664049"/>
  </r>
  <r>
    <d v="2024-01-04T00:00:00"/>
    <x v="0"/>
    <s v="Tablet"/>
    <s v="Hannah"/>
    <n v="14"/>
    <n v="553"/>
    <x v="2"/>
    <n v="7742"/>
    <n v="5413.3747348463112"/>
    <n v="2328.6252651536888"/>
  </r>
  <r>
    <d v="2024-12-15T00:00:00"/>
    <x v="3"/>
    <s v="Monitor"/>
    <s v="Grace"/>
    <n v="4"/>
    <n v="455"/>
    <x v="1"/>
    <n v="1820"/>
    <n v="1399.699163208039"/>
    <n v="420.30083679196082"/>
  </r>
  <r>
    <d v="2024-11-26T00:00:00"/>
    <x v="2"/>
    <s v="Printer"/>
    <s v="Charlie"/>
    <m/>
    <n v="315"/>
    <x v="1"/>
    <m/>
    <m/>
    <m/>
  </r>
  <r>
    <d v="2024-11-13T00:00:00"/>
    <x v="1"/>
    <s v="Camera"/>
    <s v="Grace"/>
    <n v="13"/>
    <n v="1071"/>
    <x v="2"/>
    <n v="13923"/>
    <n v="9966.8642468925918"/>
    <n v="3956.1357531074082"/>
  </r>
  <r>
    <d v="2024-12-15T00:00:00"/>
    <x v="2"/>
    <s v="Headphones"/>
    <s v="Alice"/>
    <n v="18"/>
    <n v="654"/>
    <x v="0"/>
    <n v="11772"/>
    <n v="7279.2628674514444"/>
    <n v="4492.7371325485556"/>
  </r>
  <r>
    <d v="2024-04-04T00:00:00"/>
    <x v="0"/>
    <s v="Camera"/>
    <s v="Grace"/>
    <n v="15"/>
    <n v="986"/>
    <x v="2"/>
    <n v="14790"/>
    <n v="10535.297887915491"/>
    <n v="4254.7021120845093"/>
  </r>
  <r>
    <d v="2024-05-31T00:00:00"/>
    <x v="1"/>
    <s v="Laptop"/>
    <s v="Eva"/>
    <n v="10"/>
    <n v="122"/>
    <x v="2"/>
    <n v="1220"/>
    <n v="807.87643840684336"/>
    <n v="412.12356159315658"/>
  </r>
  <r>
    <d v="2024-11-06T00:00:00"/>
    <x v="4"/>
    <s v="Tablet"/>
    <s v="Bob"/>
    <n v="16"/>
    <n v="254"/>
    <x v="2"/>
    <n v="4064"/>
    <n v="3583.4811952056689"/>
    <n v="480.51880479433072"/>
  </r>
  <r>
    <d v="2024-05-16T00:00:00"/>
    <x v="2"/>
    <s v="Headphones"/>
    <s v="Hannah"/>
    <n v="12"/>
    <n v="1309"/>
    <x v="0"/>
    <n v="15708"/>
    <n v="12710.635629862019"/>
    <n v="2997.3643701379842"/>
  </r>
  <r>
    <d v="2024-09-03T00:00:00"/>
    <x v="1"/>
    <s v="Mobile"/>
    <s v="Grace"/>
    <n v="5"/>
    <n v="348"/>
    <x v="2"/>
    <n v="1740"/>
    <n v="1070.5346507193681"/>
    <n v="669.46534928063193"/>
  </r>
  <r>
    <d v="2024-08-30T00:00:00"/>
    <x v="3"/>
    <s v="Printer"/>
    <s v="Hannah"/>
    <n v="2"/>
    <n v="848"/>
    <x v="1"/>
    <n v="1696"/>
    <n v="1166.672567759214"/>
    <n v="529.32743224078581"/>
  </r>
  <r>
    <d v="2024-01-31T00:00:00"/>
    <x v="3"/>
    <s v="Tablet"/>
    <s v="David"/>
    <n v="10"/>
    <n v="904"/>
    <x v="2"/>
    <n v="9040"/>
    <n v="5560.1856968652282"/>
    <n v="3479.8143031347722"/>
  </r>
  <r>
    <d v="2024-02-09T00:00:00"/>
    <x v="1"/>
    <s v="Smartwatch"/>
    <s v="Charlie"/>
    <n v="1"/>
    <n v="233"/>
    <x v="0"/>
    <n v="233"/>
    <n v="197.81816525919751"/>
    <n v="35.181834740802458"/>
  </r>
  <r>
    <d v="2024-08-16T00:00:00"/>
    <x v="1"/>
    <s v="Laptop"/>
    <s v="Grace"/>
    <n v="7"/>
    <n v="420"/>
    <x v="2"/>
    <n v="2940"/>
    <n v="2563.353426482116"/>
    <n v="376.64657351788401"/>
  </r>
  <r>
    <d v="2024-02-05T00:00:00"/>
    <x v="0"/>
    <s v="Tablet"/>
    <s v="Bob"/>
    <n v="17"/>
    <n v="489"/>
    <x v="2"/>
    <n v="8313"/>
    <n v="5267.8141090020672"/>
    <n v="3045.1858909979328"/>
  </r>
  <r>
    <d v="2024-08-10T00:00:00"/>
    <x v="1"/>
    <s v="Printer"/>
    <s v="Eva"/>
    <n v="16"/>
    <n v="533"/>
    <x v="1"/>
    <n v="8528"/>
    <n v="6243.2380537086483"/>
    <n v="2284.7619462913522"/>
  </r>
  <r>
    <d v="2024-01-06T00:00:00"/>
    <x v="0"/>
    <s v="Monitor"/>
    <s v="Alice"/>
    <n v="3"/>
    <n v="1145"/>
    <x v="1"/>
    <n v="3435"/>
    <n v="3021.3057219324369"/>
    <n v="413.69427806756312"/>
  </r>
  <r>
    <d v="2024-11-17T00:00:00"/>
    <x v="2"/>
    <s v="Tablet"/>
    <s v="Hannah"/>
    <n v="14"/>
    <n v="972"/>
    <x v="2"/>
    <n v="13608"/>
    <n v="8757.6121898439706"/>
    <n v="4850.3878101560294"/>
  </r>
  <r>
    <d v="2024-08-07T00:00:00"/>
    <x v="0"/>
    <s v="Monitor"/>
    <s v="Charlie"/>
    <n v="10"/>
    <n v="1723"/>
    <x v="1"/>
    <n v="17230"/>
    <n v="11846.849660102491"/>
    <n v="5383.1503398975074"/>
  </r>
  <r>
    <d v="2024-03-15T00:00:00"/>
    <x v="1"/>
    <s v="Printer"/>
    <s v="Frank"/>
    <n v="7"/>
    <n v="1788"/>
    <x v="1"/>
    <n v="12516"/>
    <n v="8652.0904564682878"/>
    <n v="3863.9095435317122"/>
  </r>
  <r>
    <d v="2024-01-04T00:00:00"/>
    <x v="1"/>
    <s v="Smartwatch"/>
    <s v="Bob"/>
    <n v="17"/>
    <n v="1248"/>
    <x v="0"/>
    <n v="21216"/>
    <n v="12920.915145503281"/>
    <n v="8295.0848544967193"/>
  </r>
  <r>
    <d v="2024-11-30T00:00:00"/>
    <x v="2"/>
    <s v="Headphones"/>
    <s v="Frank"/>
    <n v="6"/>
    <n v="1202"/>
    <x v="0"/>
    <n v="7212"/>
    <n v="4405.6807705752644"/>
    <n v="2806.319229424736"/>
  </r>
  <r>
    <d v="2024-05-13T00:00:00"/>
    <x v="1"/>
    <s v="Mobile"/>
    <s v="Bob"/>
    <n v="4"/>
    <n v="957"/>
    <x v="2"/>
    <n v="3828"/>
    <n v="3390.9872826220171"/>
    <n v="437.01271737798288"/>
  </r>
  <r>
    <d v="2024-04-27T00:00:00"/>
    <x v="1"/>
    <s v="Smartwatch"/>
    <s v="Bob"/>
    <n v="17"/>
    <n v="150"/>
    <x v="0"/>
    <n v="2550"/>
    <n v="1966.8858458744839"/>
    <n v="583.1141541255156"/>
  </r>
  <r>
    <d v="2024-04-03T00:00:00"/>
    <x v="3"/>
    <s v="Monitor"/>
    <s v="Eva"/>
    <n v="9"/>
    <n v="1851"/>
    <x v="1"/>
    <n v="16659"/>
    <n v="11527.936316003799"/>
    <n v="5131.0636839961971"/>
  </r>
  <r>
    <d v="2024-03-02T00:00:00"/>
    <x v="3"/>
    <s v="Monitor"/>
    <s v="Eva"/>
    <n v="4"/>
    <n v="275"/>
    <x v="1"/>
    <n v="1100"/>
    <n v="784.96263803317288"/>
    <n v="315.03736196682712"/>
  </r>
  <r>
    <d v="2024-07-12T00:00:00"/>
    <x v="2"/>
    <s v="Mobile"/>
    <s v="Eva"/>
    <n v="7"/>
    <n v="969"/>
    <x v="2"/>
    <n v="6783"/>
    <n v="5524.4338759067396"/>
    <n v="1258.56612409326"/>
  </r>
  <r>
    <d v="2024-11-30T00:00:00"/>
    <x v="0"/>
    <s v="Headphones"/>
    <s v="Grace"/>
    <n v="2"/>
    <m/>
    <x v="0"/>
    <m/>
    <m/>
    <m/>
  </r>
  <r>
    <d v="2024-07-21T00:00:00"/>
    <x v="3"/>
    <s v="Tablet"/>
    <s v="David"/>
    <n v="17"/>
    <n v="1065"/>
    <x v="2"/>
    <n v="18105"/>
    <n v="12100.080629401191"/>
    <n v="6004.9193705988046"/>
  </r>
  <r>
    <d v="2024-01-26T00:00:00"/>
    <x v="0"/>
    <m/>
    <s v="Bob"/>
    <n v="8"/>
    <n v="1369"/>
    <x v="2"/>
    <n v="10952"/>
    <n v="6905.7967695603002"/>
    <n v="4046.2032304396998"/>
  </r>
  <r>
    <d v="2024-06-21T00:00:00"/>
    <x v="1"/>
    <s v="Laptop"/>
    <s v="Charlie"/>
    <n v="15"/>
    <m/>
    <x v="2"/>
    <m/>
    <m/>
    <m/>
  </r>
  <r>
    <d v="2024-10-26T00:00:00"/>
    <x v="3"/>
    <s v="Laptop"/>
    <s v="Frank"/>
    <n v="15"/>
    <n v="1229"/>
    <x v="2"/>
    <n v="18435"/>
    <n v="12059.61482472233"/>
    <n v="6375.38517527767"/>
  </r>
  <r>
    <d v="2024-05-12T00:00:00"/>
    <x v="2"/>
    <s v="Printer"/>
    <s v="Eva"/>
    <n v="8"/>
    <n v="0"/>
    <x v="1"/>
    <n v="0"/>
    <n v="0"/>
    <n v="0"/>
  </r>
  <r>
    <d v="2024-11-21T00:00:00"/>
    <x v="2"/>
    <s v="Smartwatch"/>
    <s v="Grace"/>
    <n v="16"/>
    <n v="1439"/>
    <x v="0"/>
    <n v="23024"/>
    <n v="16763.459745933269"/>
    <n v="6260.5402540667346"/>
  </r>
  <r>
    <d v="2024-04-27T00:00:00"/>
    <x v="2"/>
    <s v="Monitor"/>
    <s v="Eva"/>
    <n v="19"/>
    <n v="401"/>
    <x v="1"/>
    <n v="7619"/>
    <n v="4661.8473474122111"/>
    <n v="2957.1526525877889"/>
  </r>
  <r>
    <d v="2024-11-19T00:00:00"/>
    <x v="3"/>
    <s v="Headphones"/>
    <s v="Frank"/>
    <n v="11"/>
    <n v="647"/>
    <x v="0"/>
    <n v="7117"/>
    <n v="6330.5673543678977"/>
    <n v="786.43264563210232"/>
  </r>
  <r>
    <d v="2024-10-01T00:00:00"/>
    <x v="0"/>
    <s v="Printer"/>
    <s v="Frank"/>
    <n v="2"/>
    <n v="815"/>
    <x v="1"/>
    <n v="1630"/>
    <n v="1284.7462611440969"/>
    <n v="345.25373885590329"/>
  </r>
  <r>
    <d v="2024-07-30T00:00:00"/>
    <x v="1"/>
    <s v="Smartwatch"/>
    <s v="Hannah"/>
    <n v="17"/>
    <n v="878"/>
    <x v="0"/>
    <n v="14926"/>
    <n v="9639.3457778176107"/>
    <n v="5286.6542221823893"/>
  </r>
  <r>
    <d v="2024-08-12T00:00:00"/>
    <x v="0"/>
    <s v="Smartwatch"/>
    <s v="Bob"/>
    <n v="16"/>
    <n v="367"/>
    <x v="0"/>
    <n v="5872"/>
    <n v="3826.9951186876092"/>
    <n v="2045.004881312391"/>
  </r>
  <r>
    <d v="2024-01-20T00:00:00"/>
    <x v="0"/>
    <s v="Printer"/>
    <s v="Eva"/>
    <n v="15"/>
    <n v="1293"/>
    <x v="1"/>
    <n v="19395"/>
    <n v="14952.54701246755"/>
    <n v="4442.4529875324479"/>
  </r>
  <r>
    <d v="2024-04-22T00:00:00"/>
    <x v="1"/>
    <s v="Camera"/>
    <s v="Frank"/>
    <n v="13"/>
    <n v="1109"/>
    <x v="2"/>
    <n v="14417"/>
    <n v="10192.38255706169"/>
    <n v="4224.6174429383082"/>
  </r>
  <r>
    <d v="2024-05-19T00:00:00"/>
    <x v="1"/>
    <s v="Smartwatch"/>
    <s v="David"/>
    <n v="15"/>
    <n v="650"/>
    <x v="0"/>
    <n v="9750"/>
    <n v="8114.7302267490622"/>
    <n v="1635.269773250938"/>
  </r>
  <r>
    <d v="2024-02-16T00:00:00"/>
    <x v="3"/>
    <s v="Camera"/>
    <s v="David"/>
    <n v="4"/>
    <n v="1578"/>
    <x v="2"/>
    <n v="6312"/>
    <n v="4820.7391611679795"/>
    <n v="1491.26083883202"/>
  </r>
  <r>
    <d v="2024-01-01T00:00:00"/>
    <x v="3"/>
    <s v="Laptop"/>
    <s v="Eva"/>
    <n v="16"/>
    <n v="1774"/>
    <x v="2"/>
    <n v="28384"/>
    <n v="20720.324616869981"/>
    <n v="7663.6753831300193"/>
  </r>
  <r>
    <d v="2024-03-30T00:00:00"/>
    <x v="3"/>
    <s v="Laptop"/>
    <s v="Grace"/>
    <n v="12"/>
    <n v="1415"/>
    <x v="2"/>
    <n v="16980"/>
    <n v="15093.421383644491"/>
    <n v="1886.5786163555081"/>
  </r>
  <r>
    <d v="2024-05-21T00:00:00"/>
    <x v="3"/>
    <s v="Smartwatch"/>
    <s v="Frank"/>
    <n v="4"/>
    <n v="1687"/>
    <x v="0"/>
    <n v="6748"/>
    <n v="4839.791901390895"/>
    <n v="1908.208098609105"/>
  </r>
  <r>
    <d v="2024-11-15T00:00:00"/>
    <x v="3"/>
    <s v="Laptop"/>
    <s v="Hannah"/>
    <n v="3"/>
    <n v="1922"/>
    <x v="2"/>
    <n v="5766"/>
    <n v="4152.5767759846449"/>
    <n v="1613.4232240153549"/>
  </r>
  <r>
    <d v="2024-02-07T00:00:00"/>
    <x v="1"/>
    <s v="Headphones"/>
    <s v="Bob"/>
    <n v="17"/>
    <n v="1924"/>
    <x v="0"/>
    <n v="32708"/>
    <n v="26157.625304416892"/>
    <n v="6550.374695583112"/>
  </r>
  <r>
    <d v="2024-10-19T00:00:00"/>
    <x v="0"/>
    <s v="Camera"/>
    <s v="Bob"/>
    <n v="18"/>
    <n v="1264"/>
    <x v="2"/>
    <n v="22752"/>
    <n v="19176.377023784269"/>
    <n v="3575.6229762157268"/>
  </r>
  <r>
    <d v="2024-05-18T00:00:00"/>
    <x v="3"/>
    <s v="Camera"/>
    <s v="Grace"/>
    <n v="18"/>
    <n v="1269"/>
    <x v="2"/>
    <n v="22842"/>
    <n v="17996.400846357272"/>
    <n v="4845.5991536427318"/>
  </r>
  <r>
    <d v="2024-12-21T00:00:00"/>
    <x v="3"/>
    <s v="Smartwatch"/>
    <s v="Hannah"/>
    <n v="17"/>
    <n v="1548"/>
    <x v="0"/>
    <n v="26316"/>
    <n v="21304.987981075301"/>
    <n v="5011.0120189246954"/>
  </r>
  <r>
    <d v="2024-11-28T00:00:00"/>
    <x v="0"/>
    <s v="Laptop"/>
    <s v="Bob"/>
    <n v="12"/>
    <n v="413"/>
    <x v="2"/>
    <n v="4956"/>
    <n v="3528.0746561448382"/>
    <n v="1427.9253438551621"/>
  </r>
  <r>
    <d v="2024-09-15T00:00:00"/>
    <x v="3"/>
    <m/>
    <s v="Hannah"/>
    <n v="4"/>
    <n v="283"/>
    <x v="2"/>
    <n v="1132"/>
    <n v="842.03712566801698"/>
    <n v="289.96287433198302"/>
  </r>
  <r>
    <d v="2024-06-09T00:00:00"/>
    <x v="0"/>
    <s v="Monitor"/>
    <s v="Alice"/>
    <n v="12"/>
    <n v="1787"/>
    <x v="1"/>
    <n v="21444"/>
    <n v="14133.9661182657"/>
    <n v="7310.0338817342981"/>
  </r>
  <r>
    <d v="2024-06-26T00:00:00"/>
    <x v="3"/>
    <s v="Printer"/>
    <s v="Eva"/>
    <n v="15"/>
    <n v="812"/>
    <x v="1"/>
    <n v="12180"/>
    <n v="9793.6206770124045"/>
    <n v="2386.379322987596"/>
  </r>
  <r>
    <d v="2024-01-10T00:00:00"/>
    <x v="1"/>
    <s v="Printer"/>
    <s v="Bob"/>
    <n v="16"/>
    <n v="227"/>
    <x v="1"/>
    <n v="3632"/>
    <n v="2420.4940342889431"/>
    <n v="1211.5059657110569"/>
  </r>
  <r>
    <d v="2024-09-17T00:00:00"/>
    <x v="2"/>
    <s v="Camera"/>
    <s v="David"/>
    <n v="5"/>
    <n v="1410"/>
    <x v="2"/>
    <n v="7050"/>
    <n v="4232.6581222579098"/>
    <n v="2817.3418777420902"/>
  </r>
  <r>
    <d v="2024-05-17T00:00:00"/>
    <x v="1"/>
    <s v="Smartwatch"/>
    <s v="Frank"/>
    <n v="15"/>
    <n v="1946"/>
    <x v="0"/>
    <n v="29190"/>
    <n v="25690.954883147719"/>
    <n v="3499.0451168522782"/>
  </r>
  <r>
    <d v="2024-06-20T00:00:00"/>
    <x v="2"/>
    <s v="Smartwatch"/>
    <s v="Hannah"/>
    <n v="17"/>
    <n v="1376"/>
    <x v="0"/>
    <n v="23392"/>
    <n v="16182.69255674725"/>
    <n v="7209.3074432527483"/>
  </r>
  <r>
    <d v="2024-01-13T00:00:00"/>
    <x v="2"/>
    <s v="Headphones"/>
    <s v="Hannah"/>
    <n v="18"/>
    <n v="1901"/>
    <x v="0"/>
    <n v="34218"/>
    <n v="22549.306568730499"/>
    <n v="11668.693431269499"/>
  </r>
  <r>
    <d v="2024-06-16T00:00:00"/>
    <x v="2"/>
    <s v="Tablet"/>
    <s v="Charlie"/>
    <n v="5"/>
    <n v="799"/>
    <x v="2"/>
    <n v="3995"/>
    <n v="2718.3738570624819"/>
    <n v="1276.6261429375179"/>
  </r>
  <r>
    <d v="2024-05-09T00:00:00"/>
    <x v="3"/>
    <s v="Monitor"/>
    <s v="Grace"/>
    <n v="13"/>
    <n v="485"/>
    <x v="1"/>
    <n v="6305"/>
    <n v="4408.0418200456716"/>
    <n v="1896.958179954328"/>
  </r>
  <r>
    <d v="2024-03-24T00:00:00"/>
    <x v="1"/>
    <s v="Tablet"/>
    <s v="Charlie"/>
    <n v="19"/>
    <n v="1353"/>
    <x v="2"/>
    <n v="25707"/>
    <n v="19083.949495410961"/>
    <n v="6623.0505045890422"/>
  </r>
  <r>
    <d v="2024-11-16T00:00:00"/>
    <x v="2"/>
    <s v="Camera"/>
    <s v="Bob"/>
    <n v="13"/>
    <n v="370"/>
    <x v="2"/>
    <n v="4810"/>
    <n v="2986.0744612798348"/>
    <n v="1823.9255387201649"/>
  </r>
  <r>
    <d v="2024-11-14T00:00:00"/>
    <x v="0"/>
    <s v="Printer"/>
    <s v="Charlie"/>
    <n v="18"/>
    <n v="1894"/>
    <x v="1"/>
    <n v="34092"/>
    <n v="20993.919972406871"/>
    <n v="13098.080027593131"/>
  </r>
  <r>
    <d v="2024-04-10T00:00:00"/>
    <x v="3"/>
    <s v="Headphones"/>
    <s v="Charlie"/>
    <n v="14"/>
    <n v="910"/>
    <x v="0"/>
    <n v="12740"/>
    <n v="8763.5049458865124"/>
    <n v="3976.4950541134881"/>
  </r>
  <r>
    <d v="2024-11-24T00:00:00"/>
    <x v="1"/>
    <s v="Headphones"/>
    <s v="Alice"/>
    <n v="4"/>
    <n v="514"/>
    <x v="0"/>
    <n v="2056"/>
    <n v="1416.028549722369"/>
    <n v="639.97145027763122"/>
  </r>
  <r>
    <d v="2024-09-29T00:00:00"/>
    <x v="2"/>
    <s v="Headphones"/>
    <s v="Hannah"/>
    <n v="4"/>
    <n v="297"/>
    <x v="0"/>
    <n v="1188"/>
    <n v="754.72911559299337"/>
    <n v="433.27088440700658"/>
  </r>
  <r>
    <d v="2024-09-21T00:00:00"/>
    <x v="0"/>
    <s v="Camera"/>
    <s v="David"/>
    <n v="19"/>
    <n v="1446"/>
    <x v="2"/>
    <n v="27474"/>
    <n v="19820.773278708701"/>
    <n v="7653.2267212912957"/>
  </r>
  <r>
    <d v="2024-02-07T00:00:00"/>
    <x v="1"/>
    <s v="Tablet"/>
    <s v="Grace"/>
    <n v="13"/>
    <n v="1179"/>
    <x v="2"/>
    <n v="15327"/>
    <n v="10502.19221926321"/>
    <n v="4824.8077807367881"/>
  </r>
  <r>
    <d v="2024-04-03T00:00:00"/>
    <x v="1"/>
    <s v="Printer"/>
    <s v="David"/>
    <n v="12"/>
    <n v="930"/>
    <x v="1"/>
    <n v="11160"/>
    <n v="6783.2339907578944"/>
    <n v="4376.7660092421056"/>
  </r>
  <r>
    <d v="2024-04-04T00:00:00"/>
    <x v="3"/>
    <s v="Headphones"/>
    <s v="Alice"/>
    <n v="7"/>
    <n v="1326"/>
    <x v="0"/>
    <n v="9282"/>
    <n v="8035.5780851606251"/>
    <n v="1246.4219148393749"/>
  </r>
  <r>
    <d v="2024-10-31T00:00:00"/>
    <x v="1"/>
    <s v="Printer"/>
    <s v="Alice"/>
    <n v="12"/>
    <n v="1906"/>
    <x v="1"/>
    <n v="22872"/>
    <n v="19802.708094207901"/>
    <n v="3069.291905792099"/>
  </r>
  <r>
    <d v="2024-03-09T00:00:00"/>
    <x v="3"/>
    <s v="Laptop"/>
    <s v="Charlie"/>
    <n v="4"/>
    <n v="1744"/>
    <x v="2"/>
    <n v="6976"/>
    <n v="4623.3766188973186"/>
    <n v="2352.6233811026809"/>
  </r>
  <r>
    <d v="2024-11-13T00:00:00"/>
    <x v="2"/>
    <s v="Smartwatch"/>
    <s v="Eva"/>
    <n v="2"/>
    <n v="727"/>
    <x v="0"/>
    <n v="1454"/>
    <n v="943.44486592528858"/>
    <n v="510.55513407471142"/>
  </r>
  <r>
    <d v="2024-08-23T00:00:00"/>
    <x v="3"/>
    <s v="Smartwatch"/>
    <s v="Hannah"/>
    <n v="2"/>
    <n v="703"/>
    <x v="0"/>
    <n v="1406"/>
    <n v="1074.4480880015569"/>
    <n v="331.5519119984433"/>
  </r>
  <r>
    <d v="2024-11-29T00:00:00"/>
    <x v="0"/>
    <s v="Printer"/>
    <s v="Frank"/>
    <n v="5"/>
    <n v="1261"/>
    <x v="1"/>
    <n v="6305"/>
    <n v="4976.0702508893764"/>
    <n v="1328.929749110624"/>
  </r>
  <r>
    <d v="2024-05-16T00:00:00"/>
    <x v="3"/>
    <s v="Mobile"/>
    <s v="Hannah"/>
    <n v="10"/>
    <n v="1545"/>
    <x v="2"/>
    <n v="15450"/>
    <n v="13708.20975376718"/>
    <n v="1741.790246232817"/>
  </r>
  <r>
    <d v="2024-03-16T00:00:00"/>
    <x v="0"/>
    <s v="Mobile"/>
    <s v="Frank"/>
    <n v="10"/>
    <n v="1938"/>
    <x v="2"/>
    <n v="19380"/>
    <n v="13821.903926903869"/>
    <n v="5558.0960730961306"/>
  </r>
  <r>
    <d v="2024-02-04T00:00:00"/>
    <x v="3"/>
    <s v="Camera"/>
    <m/>
    <n v="9"/>
    <n v="0"/>
    <x v="2"/>
    <n v="0"/>
    <n v="0"/>
    <n v="0"/>
  </r>
  <r>
    <d v="2024-01-01T00:00:00"/>
    <x v="1"/>
    <s v="Camera"/>
    <s v="Frank"/>
    <n v="13"/>
    <n v="1685"/>
    <x v="2"/>
    <n v="21905"/>
    <n v="18913.96674250302"/>
    <n v="2991.0332574969798"/>
  </r>
  <r>
    <d v="2024-10-22T00:00:00"/>
    <x v="2"/>
    <s v="Smartwatch"/>
    <s v="Alice"/>
    <n v="7"/>
    <n v="1109"/>
    <x v="0"/>
    <n v="7763"/>
    <n v="5705.6973717050214"/>
    <n v="2057.3026282949791"/>
  </r>
  <r>
    <d v="2024-11-15T00:00:00"/>
    <x v="0"/>
    <s v="Laptop"/>
    <s v="David"/>
    <n v="5"/>
    <n v="170"/>
    <x v="2"/>
    <n v="850"/>
    <n v="541.19816654511806"/>
    <n v="308.80183345488189"/>
  </r>
  <r>
    <d v="2024-02-29T00:00:00"/>
    <x v="3"/>
    <s v="Monitor"/>
    <s v="Frank"/>
    <n v="10"/>
    <n v="1010"/>
    <x v="1"/>
    <n v="10100"/>
    <n v="7203.6652760648212"/>
    <n v="2896.3347239351792"/>
  </r>
  <r>
    <d v="2024-11-15T00:00:00"/>
    <x v="3"/>
    <s v="Tablet"/>
    <s v="Hannah"/>
    <n v="10"/>
    <n v="693"/>
    <x v="2"/>
    <n v="6930"/>
    <n v="4441.9226406161624"/>
    <n v="2488.077359383838"/>
  </r>
  <r>
    <d v="2024-12-14T00:00:00"/>
    <x v="3"/>
    <s v="Tablet"/>
    <s v="Grace"/>
    <n v="6"/>
    <n v="1495"/>
    <x v="2"/>
    <n v="8970"/>
    <n v="5426.7767981674479"/>
    <n v="3543.2232018325521"/>
  </r>
  <r>
    <d v="2024-11-23T00:00:00"/>
    <x v="1"/>
    <s v="Camera"/>
    <s v="Charlie"/>
    <n v="19"/>
    <n v="1740"/>
    <x v="2"/>
    <n v="33060"/>
    <n v="27289.903212869642"/>
    <n v="5770.0967871303583"/>
  </r>
  <r>
    <d v="2024-09-23T00:00:00"/>
    <x v="1"/>
    <s v="Laptop"/>
    <s v="Eva"/>
    <n v="8"/>
    <n v="699"/>
    <x v="2"/>
    <n v="5592"/>
    <n v="3755.1795999510091"/>
    <n v="1836.8204000489909"/>
  </r>
  <r>
    <d v="2024-12-26T00:00:00"/>
    <x v="0"/>
    <s v="Camera"/>
    <s v="Charlie"/>
    <n v="1"/>
    <n v="613"/>
    <x v="2"/>
    <n v="613"/>
    <n v="368.16909572978727"/>
    <n v="244.8309042702127"/>
  </r>
  <r>
    <d v="2024-08-16T00:00:00"/>
    <x v="0"/>
    <s v="Monitor"/>
    <s v="Bob"/>
    <n v="17"/>
    <n v="1995"/>
    <x v="1"/>
    <n v="33915"/>
    <n v="29225.563021741331"/>
    <n v="4689.4369782586646"/>
  </r>
  <r>
    <d v="2024-09-26T00:00:00"/>
    <x v="1"/>
    <s v="Tablet"/>
    <s v="Charlie"/>
    <n v="7"/>
    <n v="183"/>
    <x v="2"/>
    <n v="1281"/>
    <n v="939.14805063205506"/>
    <n v="341.85194936794488"/>
  </r>
  <r>
    <d v="2024-11-11T00:00:00"/>
    <x v="0"/>
    <s v="Printer"/>
    <s v="Alice"/>
    <n v="14"/>
    <n v="1093"/>
    <x v="1"/>
    <n v="15302"/>
    <n v="10277.710163444281"/>
    <n v="5024.2898365557157"/>
  </r>
  <r>
    <d v="2024-10-12T00:00:00"/>
    <x v="2"/>
    <s v="Camera"/>
    <s v="David"/>
    <n v="17"/>
    <n v="1166"/>
    <x v="2"/>
    <n v="19822"/>
    <n v="13455.906849608729"/>
    <n v="6366.0931503912652"/>
  </r>
  <r>
    <d v="2024-10-17T00:00:00"/>
    <x v="2"/>
    <m/>
    <s v="David"/>
    <n v="9"/>
    <n v="1789"/>
    <x v="0"/>
    <n v="16101"/>
    <n v="10822.47018603138"/>
    <n v="5278.5298139686174"/>
  </r>
  <r>
    <d v="2024-07-31T00:00:00"/>
    <x v="1"/>
    <s v="Printer"/>
    <s v="Grace"/>
    <n v="17"/>
    <n v="938"/>
    <x v="1"/>
    <n v="15946"/>
    <n v="10498.317763897239"/>
    <n v="5447.6822361027607"/>
  </r>
  <r>
    <d v="2024-06-13T00:00:00"/>
    <x v="0"/>
    <s v="Monitor"/>
    <s v="Frank"/>
    <n v="5"/>
    <n v="705"/>
    <x v="1"/>
    <n v="3525"/>
    <n v="3004.5967324873191"/>
    <n v="520.4032675126814"/>
  </r>
  <r>
    <d v="2024-01-05T00:00:00"/>
    <x v="3"/>
    <s v="Monitor"/>
    <s v="Alice"/>
    <n v="8"/>
    <n v="909"/>
    <x v="1"/>
    <n v="7272"/>
    <n v="4734.7954935413072"/>
    <n v="2537.2045064586928"/>
  </r>
  <r>
    <d v="2024-12-04T00:00:00"/>
    <x v="2"/>
    <s v="Camera"/>
    <s v="Bob"/>
    <n v="6"/>
    <n v="232"/>
    <x v="2"/>
    <n v="1392"/>
    <n v="1069.830515988037"/>
    <n v="322.16948401196299"/>
  </r>
  <r>
    <d v="2024-03-18T00:00:00"/>
    <x v="1"/>
    <s v="Smartwatch"/>
    <s v="Alice"/>
    <n v="11"/>
    <n v="1518"/>
    <x v="0"/>
    <n v="16698"/>
    <n v="10406.128033660851"/>
    <n v="6291.8719663391457"/>
  </r>
  <r>
    <d v="2024-03-02T00:00:00"/>
    <x v="0"/>
    <s v="Camera"/>
    <s v="Charlie"/>
    <n v="19"/>
    <m/>
    <x v="2"/>
    <m/>
    <m/>
    <m/>
  </r>
  <r>
    <d v="2024-05-11T00:00:00"/>
    <x v="1"/>
    <s v="Smartwatch"/>
    <s v="Alice"/>
    <n v="4"/>
    <n v="389"/>
    <x v="0"/>
    <n v="1556"/>
    <n v="1215.226930595356"/>
    <n v="340.77306940464359"/>
  </r>
  <r>
    <d v="2024-03-29T00:00:00"/>
    <x v="3"/>
    <s v="Monitor"/>
    <s v="Alice"/>
    <n v="18"/>
    <n v="475"/>
    <x v="1"/>
    <n v="8550"/>
    <n v="7446.5861912338814"/>
    <n v="1103.413808766119"/>
  </r>
  <r>
    <d v="2024-08-24T00:00:00"/>
    <x v="2"/>
    <s v="Laptop"/>
    <s v="Grace"/>
    <n v="1"/>
    <n v="868"/>
    <x v="2"/>
    <n v="868"/>
    <n v="624.40737377541905"/>
    <n v="243.59262622458101"/>
  </r>
  <r>
    <d v="2024-02-11T00:00:00"/>
    <x v="1"/>
    <s v="Monitor"/>
    <s v="Bob"/>
    <n v="13"/>
    <n v="566"/>
    <x v="1"/>
    <n v="7358"/>
    <n v="6204.2774980973472"/>
    <n v="1153.722501902653"/>
  </r>
  <r>
    <d v="2024-03-29T00:00:00"/>
    <x v="1"/>
    <s v="Tablet"/>
    <s v="Charlie"/>
    <n v="14"/>
    <n v="1336"/>
    <x v="2"/>
    <n v="18704"/>
    <n v="16012.426015085981"/>
    <n v="2691.573984914025"/>
  </r>
  <r>
    <d v="2024-10-22T00:00:00"/>
    <x v="1"/>
    <s v="Printer"/>
    <s v="Eva"/>
    <n v="1"/>
    <n v="1271"/>
    <x v="1"/>
    <n v="1271"/>
    <n v="1030.634564726427"/>
    <n v="240.36543527357321"/>
  </r>
  <r>
    <d v="2024-11-23T00:00:00"/>
    <x v="3"/>
    <s v="Printer"/>
    <s v="Grace"/>
    <n v="11"/>
    <n v="1696"/>
    <x v="1"/>
    <n v="18656"/>
    <n v="11713.8083802481"/>
    <n v="6942.1916197518967"/>
  </r>
  <r>
    <d v="2024-10-21T00:00:00"/>
    <x v="1"/>
    <s v="Mobile"/>
    <s v="Eva"/>
    <n v="17"/>
    <n v="570"/>
    <x v="2"/>
    <n v="9690"/>
    <n v="5860.7448111819695"/>
    <n v="3829.255188818031"/>
  </r>
  <r>
    <d v="2024-04-13T00:00:00"/>
    <x v="3"/>
    <s v="Mobile"/>
    <s v="Grace"/>
    <n v="4"/>
    <n v="248"/>
    <x v="2"/>
    <n v="992"/>
    <n v="645.36335840393156"/>
    <n v="346.63664159606839"/>
  </r>
  <r>
    <d v="2024-01-14T00:00:00"/>
    <x v="3"/>
    <s v="Monitor"/>
    <s v="David"/>
    <n v="12"/>
    <n v="187"/>
    <x v="1"/>
    <n v="2244"/>
    <n v="1425.902736789968"/>
    <n v="818.09726321003222"/>
  </r>
  <r>
    <d v="2024-10-14T00:00:00"/>
    <x v="3"/>
    <s v="Tablet"/>
    <s v="Hannah"/>
    <n v="10"/>
    <n v="1447"/>
    <x v="2"/>
    <n v="14470"/>
    <n v="11829.82260029152"/>
    <n v="2640.1773997084779"/>
  </r>
  <r>
    <d v="2024-06-27T00:00:00"/>
    <x v="2"/>
    <s v="Mobile"/>
    <s v="Grace"/>
    <n v="6"/>
    <n v="495"/>
    <x v="2"/>
    <n v="2970"/>
    <n v="2278.2930772342038"/>
    <n v="691.70692276579575"/>
  </r>
  <r>
    <d v="2024-05-04T00:00:00"/>
    <x v="2"/>
    <s v="Printer"/>
    <s v="Frank"/>
    <n v="1"/>
    <n v="889"/>
    <x v="1"/>
    <n v="889"/>
    <n v="673.67109557431309"/>
    <n v="215.32890442568689"/>
  </r>
  <r>
    <d v="2024-12-18T00:00:00"/>
    <x v="1"/>
    <s v="Camera"/>
    <s v="Alice"/>
    <n v="7"/>
    <n v="1527"/>
    <x v="2"/>
    <n v="10689"/>
    <n v="7224.2695719622479"/>
    <n v="3464.7304280377521"/>
  </r>
  <r>
    <d v="2024-01-23T00:00:00"/>
    <x v="4"/>
    <s v="Laptop"/>
    <s v="David"/>
    <n v="16"/>
    <n v="1205"/>
    <x v="2"/>
    <n v="19280"/>
    <n v="12462.24999248705"/>
    <n v="6817.7500075129501"/>
  </r>
  <r>
    <d v="2024-03-03T00:00:00"/>
    <x v="2"/>
    <s v="Laptop"/>
    <s v="Bob"/>
    <n v="14"/>
    <n v="1764"/>
    <x v="2"/>
    <n v="24696"/>
    <n v="16347.872598423801"/>
    <n v="8348.1274015762046"/>
  </r>
  <r>
    <d v="2024-05-22T00:00:00"/>
    <x v="0"/>
    <s v="Tablet"/>
    <s v="Eva"/>
    <n v="6"/>
    <m/>
    <x v="2"/>
    <m/>
    <m/>
    <m/>
  </r>
  <r>
    <d v="2024-06-01T00:00:00"/>
    <x v="2"/>
    <s v="Monitor"/>
    <s v="Hannah"/>
    <n v="5"/>
    <n v="1505"/>
    <x v="1"/>
    <n v="7525"/>
    <n v="6185.8732892628514"/>
    <n v="1339.1267107371491"/>
  </r>
  <r>
    <d v="2024-05-24T00:00:00"/>
    <x v="3"/>
    <s v="Mobile"/>
    <s v="Hannah"/>
    <n v="18"/>
    <n v="964"/>
    <x v="2"/>
    <n v="17352"/>
    <n v="11736.111699042251"/>
    <n v="5615.888300957753"/>
  </r>
  <r>
    <d v="2024-08-12T00:00:00"/>
    <x v="2"/>
    <s v="Camera"/>
    <s v="Grace"/>
    <n v="15"/>
    <n v="1915"/>
    <x v="2"/>
    <n v="28725"/>
    <n v="23255.297538347018"/>
    <n v="5469.7024616529779"/>
  </r>
  <r>
    <d v="2024-11-04T00:00:00"/>
    <x v="3"/>
    <s v="Laptop"/>
    <s v="Alice"/>
    <n v="6"/>
    <n v="1393"/>
    <x v="2"/>
    <n v="8358"/>
    <n v="6247.2167384831046"/>
    <n v="2110.783261516895"/>
  </r>
  <r>
    <d v="2024-04-13T00:00:00"/>
    <x v="1"/>
    <s v="Laptop"/>
    <s v="Bob"/>
    <n v="19"/>
    <n v="1415"/>
    <x v="2"/>
    <n v="26885"/>
    <n v="23272.523163663798"/>
    <n v="3612.4768363361982"/>
  </r>
  <r>
    <d v="2024-04-13T00:00:00"/>
    <x v="0"/>
    <s v="Headphones"/>
    <s v="Frank"/>
    <n v="1"/>
    <n v="1576"/>
    <x v="0"/>
    <n v="1576"/>
    <n v="1055.7220043883351"/>
    <n v="520.27799561166512"/>
  </r>
  <r>
    <d v="2024-02-08T00:00:00"/>
    <x v="1"/>
    <s v="Monitor"/>
    <s v="Bob"/>
    <n v="1"/>
    <n v="1838"/>
    <x v="1"/>
    <n v="1838"/>
    <n v="1351.402374795349"/>
    <n v="486.59762520465051"/>
  </r>
  <r>
    <d v="2024-07-16T00:00:00"/>
    <x v="3"/>
    <s v="Headphones"/>
    <s v="Alice"/>
    <n v="13"/>
    <n v="123"/>
    <x v="0"/>
    <n v="1599"/>
    <n v="1005.7700888093721"/>
    <n v="593.2299111906276"/>
  </r>
  <r>
    <d v="2024-05-13T00:00:00"/>
    <x v="3"/>
    <s v="Printer"/>
    <s v="Frank"/>
    <n v="3"/>
    <n v="1055"/>
    <x v="1"/>
    <n v="3165"/>
    <n v="2217.2279089198942"/>
    <n v="947.77209108010629"/>
  </r>
  <r>
    <d v="2024-03-07T00:00:00"/>
    <x v="3"/>
    <s v="Laptop"/>
    <s v="Bob"/>
    <n v="10"/>
    <n v="1986"/>
    <x v="2"/>
    <n v="19860"/>
    <n v="14935.99368554387"/>
    <n v="4924.0063144561336"/>
  </r>
  <r>
    <d v="2024-06-27T00:00:00"/>
    <x v="0"/>
    <s v="Tablet"/>
    <s v="Frank"/>
    <n v="3"/>
    <n v="410"/>
    <x v="2"/>
    <n v="1230"/>
    <n v="1008.381139089907"/>
    <n v="221.61886091009259"/>
  </r>
  <r>
    <d v="2024-02-11T00:00:00"/>
    <x v="2"/>
    <s v="Smartwatch"/>
    <s v="Grace"/>
    <n v="9"/>
    <n v="1584"/>
    <x v="0"/>
    <n v="14256"/>
    <n v="9400.7362270667563"/>
    <n v="4855.2637729332437"/>
  </r>
  <r>
    <d v="2024-01-15T00:00:00"/>
    <x v="1"/>
    <s v="Smartwatch"/>
    <s v="Grace"/>
    <n v="8"/>
    <n v="1331"/>
    <x v="0"/>
    <n v="10648"/>
    <n v="7085.4734949816147"/>
    <n v="3562.5265050183848"/>
  </r>
  <r>
    <d v="2024-04-20T00:00:00"/>
    <x v="1"/>
    <s v="Camera"/>
    <s v="Alice"/>
    <n v="3"/>
    <n v="1915"/>
    <x v="2"/>
    <n v="5745"/>
    <n v="4535.5244081380288"/>
    <n v="1209.475591861971"/>
  </r>
  <r>
    <d v="2024-06-05T00:00:00"/>
    <x v="2"/>
    <s v="Laptop"/>
    <s v="Alice"/>
    <n v="13"/>
    <n v="1840"/>
    <x v="2"/>
    <n v="23920"/>
    <n v="17096.517054068139"/>
    <n v="6823.4829459318607"/>
  </r>
  <r>
    <d v="2024-10-15T00:00:00"/>
    <x v="1"/>
    <s v="Laptop"/>
    <s v="Frank"/>
    <n v="6"/>
    <n v="763"/>
    <x v="2"/>
    <n v="4578"/>
    <n v="3408.9090906569072"/>
    <n v="1169.090909343093"/>
  </r>
  <r>
    <d v="2024-08-18T00:00:00"/>
    <x v="0"/>
    <s v="Printer"/>
    <s v="Charlie"/>
    <n v="13"/>
    <n v="537"/>
    <x v="1"/>
    <n v="6981"/>
    <n v="5939.7172556833166"/>
    <n v="1041.282744316683"/>
  </r>
  <r>
    <d v="2024-06-05T00:00:00"/>
    <x v="1"/>
    <s v="Laptop"/>
    <s v="David"/>
    <n v="12"/>
    <n v="1661"/>
    <x v="2"/>
    <n v="19932"/>
    <n v="14943.518507045441"/>
    <n v="4988.4814929545646"/>
  </r>
  <r>
    <d v="2024-02-07T00:00:00"/>
    <x v="3"/>
    <s v="Tablet"/>
    <s v="Hannah"/>
    <n v="13"/>
    <n v="805"/>
    <x v="2"/>
    <n v="10465"/>
    <n v="8327.5218054224933"/>
    <n v="2137.4781945775071"/>
  </r>
  <r>
    <d v="2024-04-06T00:00:00"/>
    <x v="2"/>
    <s v="Headphones"/>
    <s v="Bob"/>
    <n v="2"/>
    <n v="1459"/>
    <x v="0"/>
    <n v="2918"/>
    <n v="2325.7408714691401"/>
    <n v="592.25912853086038"/>
  </r>
  <r>
    <d v="2024-10-15T00:00:00"/>
    <x v="0"/>
    <s v="Laptop"/>
    <s v="Bob"/>
    <n v="16"/>
    <n v="521"/>
    <x v="2"/>
    <n v="8336"/>
    <n v="7011.2727469444108"/>
    <n v="1324.727253055589"/>
  </r>
  <r>
    <d v="2024-09-10T00:00:00"/>
    <x v="2"/>
    <s v="Laptop"/>
    <s v="Charlie"/>
    <n v="6"/>
    <n v="1873"/>
    <x v="2"/>
    <n v="11238"/>
    <n v="8894.2234714986389"/>
    <n v="2343.7765285013611"/>
  </r>
  <r>
    <d v="2024-07-14T00:00:00"/>
    <x v="0"/>
    <s v="Printer"/>
    <s v="Charlie"/>
    <n v="19"/>
    <n v="420"/>
    <x v="1"/>
    <n v="7980"/>
    <n v="4943.1547226153461"/>
    <n v="3036.8452773846539"/>
  </r>
  <r>
    <d v="2024-03-26T00:00:00"/>
    <x v="3"/>
    <s v="Monitor"/>
    <s v="Charlie"/>
    <n v="13"/>
    <n v="1620"/>
    <x v="1"/>
    <n v="21060"/>
    <n v="14797.848904615459"/>
    <n v="6262.1510953845454"/>
  </r>
  <r>
    <d v="2024-11-17T00:00:00"/>
    <x v="2"/>
    <s v="Mobile"/>
    <s v="Eva"/>
    <n v="17"/>
    <n v="686"/>
    <x v="2"/>
    <n v="11662"/>
    <n v="10458.421599625321"/>
    <n v="1203.578400374678"/>
  </r>
  <r>
    <d v="2024-01-10T00:00:00"/>
    <x v="1"/>
    <s v="Monitor"/>
    <s v="Eva"/>
    <n v="9"/>
    <n v="1046"/>
    <x v="1"/>
    <n v="9414"/>
    <n v="6203.3843576513236"/>
    <n v="3210.6156423486759"/>
  </r>
  <r>
    <d v="2024-01-05T00:00:00"/>
    <x v="0"/>
    <s v="Printer"/>
    <s v="Frank"/>
    <n v="17"/>
    <n v="1286"/>
    <x v="1"/>
    <n v="21862"/>
    <n v="16965.321333690579"/>
    <n v="4896.6786663094244"/>
  </r>
  <r>
    <d v="2024-05-02T00:00:00"/>
    <x v="2"/>
    <s v="Monitor"/>
    <s v="Eva"/>
    <n v="2"/>
    <n v="1934"/>
    <x v="1"/>
    <n v="3868"/>
    <n v="3298.948318513575"/>
    <n v="569.05168148642542"/>
  </r>
  <r>
    <d v="2024-11-25T00:00:00"/>
    <x v="1"/>
    <s v="Headphones"/>
    <s v="Grace"/>
    <n v="19"/>
    <n v="1664"/>
    <x v="1"/>
    <n v="31616"/>
    <n v="24532.990636976501"/>
    <n v="7083.0093630234951"/>
  </r>
  <r>
    <d v="2024-12-18T00:00:00"/>
    <x v="2"/>
    <s v="Tablet"/>
    <s v="Grace"/>
    <n v="19"/>
    <n v="1288"/>
    <x v="2"/>
    <n v="24472"/>
    <n v="17416.259327062809"/>
    <n v="7055.7406729371869"/>
  </r>
  <r>
    <d v="2024-04-27T00:00:00"/>
    <x v="2"/>
    <s v="Camera"/>
    <s v="Alice"/>
    <n v="7"/>
    <n v="948"/>
    <x v="2"/>
    <n v="6636"/>
    <n v="4141.3190226584084"/>
    <n v="2494.6809773415921"/>
  </r>
  <r>
    <d v="2024-10-20T00:00:00"/>
    <x v="2"/>
    <s v="Laptop"/>
    <s v="Hannah"/>
    <n v="10"/>
    <n v="1821"/>
    <x v="2"/>
    <n v="18210"/>
    <n v="12901.77536255469"/>
    <n v="5308.2246374453116"/>
  </r>
  <r>
    <d v="2024-06-07T00:00:00"/>
    <x v="0"/>
    <s v="Printer"/>
    <s v="Frank"/>
    <n v="10"/>
    <n v="1689"/>
    <x v="1"/>
    <n v="16890"/>
    <n v="11056.536081146931"/>
    <n v="5833.4639188530746"/>
  </r>
  <r>
    <d v="2024-10-29T00:00:00"/>
    <x v="1"/>
    <s v="Printer"/>
    <s v="Hannah"/>
    <n v="9"/>
    <n v="1418"/>
    <x v="1"/>
    <n v="12762"/>
    <n v="11335.95937841719"/>
    <n v="1426.04062158281"/>
  </r>
  <r>
    <d v="2024-08-15T00:00:00"/>
    <x v="3"/>
    <s v="Mobile"/>
    <s v="Bob"/>
    <n v="17"/>
    <n v="141"/>
    <x v="2"/>
    <n v="2397"/>
    <n v="1952.379397264564"/>
    <n v="444.62060273543631"/>
  </r>
  <r>
    <d v="2024-12-30T00:00:00"/>
    <x v="0"/>
    <s v="Printer"/>
    <s v="David"/>
    <m/>
    <n v="1408"/>
    <x v="1"/>
    <m/>
    <m/>
    <m/>
  </r>
  <r>
    <d v="2024-08-03T00:00:00"/>
    <x v="0"/>
    <s v="Smartwatch"/>
    <s v="Alice"/>
    <n v="2"/>
    <n v="1038"/>
    <x v="0"/>
    <n v="2076"/>
    <n v="1517.121658865035"/>
    <n v="558.87834113496456"/>
  </r>
  <r>
    <d v="2024-07-02T00:00:00"/>
    <x v="0"/>
    <s v="Camera"/>
    <s v="Bob"/>
    <n v="4"/>
    <n v="486"/>
    <x v="2"/>
    <n v="1944"/>
    <n v="1230.5314877664109"/>
    <n v="713.46851223358885"/>
  </r>
  <r>
    <d v="2024-01-15T00:00:00"/>
    <x v="3"/>
    <s v="Laptop"/>
    <s v="Bob"/>
    <n v="19"/>
    <n v="1261"/>
    <x v="2"/>
    <n v="23959"/>
    <n v="16292.47808762485"/>
    <n v="7666.5219123751467"/>
  </r>
  <r>
    <d v="2024-06-05T00:00:00"/>
    <x v="1"/>
    <s v="Laptop"/>
    <s v="Frank"/>
    <n v="17"/>
    <n v="1310"/>
    <x v="2"/>
    <n v="22270"/>
    <n v="15097.12988626715"/>
    <n v="7172.870113732848"/>
  </r>
  <r>
    <d v="2024-05-15T00:00:00"/>
    <x v="1"/>
    <s v="Mobile"/>
    <s v="Charlie"/>
    <n v="5"/>
    <n v="1009"/>
    <x v="2"/>
    <n v="5045"/>
    <n v="3763.7405474381371"/>
    <n v="1281.2594525618631"/>
  </r>
  <r>
    <d v="2024-09-17T00:00:00"/>
    <x v="1"/>
    <s v="Tablet"/>
    <s v="Charlie"/>
    <n v="7"/>
    <n v="815"/>
    <x v="2"/>
    <n v="5705"/>
    <n v="4211.9669049256809"/>
    <n v="1493.0330950743189"/>
  </r>
  <r>
    <d v="2024-06-05T00:00:00"/>
    <x v="2"/>
    <s v="Laptop"/>
    <s v="Hannah"/>
    <n v="18"/>
    <n v="530"/>
    <x v="2"/>
    <n v="9540"/>
    <n v="6964.4143181182071"/>
    <n v="2575.5856818817929"/>
  </r>
  <r>
    <d v="2024-02-16T00:00:00"/>
    <x v="2"/>
    <s v="Smartwatch"/>
    <s v="Alice"/>
    <n v="7"/>
    <n v="653"/>
    <x v="0"/>
    <n v="4571"/>
    <n v="3422.7339000757561"/>
    <n v="1148.2660999242439"/>
  </r>
  <r>
    <d v="2024-11-19T00:00:00"/>
    <x v="2"/>
    <s v="Laptop"/>
    <s v="Charlie"/>
    <n v="17"/>
    <n v="1985"/>
    <x v="2"/>
    <n v="33745"/>
    <n v="30239.128170439461"/>
    <n v="3505.8718295605358"/>
  </r>
  <r>
    <d v="2024-11-27T00:00:00"/>
    <x v="3"/>
    <s v="Smartwatch"/>
    <s v="Bob"/>
    <n v="7"/>
    <n v="1539"/>
    <x v="0"/>
    <n v="10773"/>
    <n v="7428.0490989070531"/>
    <n v="3344.9509010929469"/>
  </r>
  <r>
    <d v="2024-06-21T00:00:00"/>
    <x v="2"/>
    <s v="Camera"/>
    <s v="Charlie"/>
    <n v="4"/>
    <n v="899"/>
    <x v="2"/>
    <n v="3596"/>
    <n v="2821.352370178663"/>
    <n v="774.64762982133743"/>
  </r>
  <r>
    <d v="2024-05-09T00:00:00"/>
    <x v="3"/>
    <s v="Camera"/>
    <s v="Eva"/>
    <n v="8"/>
    <n v="525"/>
    <x v="2"/>
    <n v="4200"/>
    <n v="2821.779757490784"/>
    <n v="1378.220242509216"/>
  </r>
  <r>
    <d v="2024-04-04T00:00:00"/>
    <x v="1"/>
    <s v="Headphones"/>
    <s v="Charlie"/>
    <n v="13"/>
    <n v="1539"/>
    <x v="0"/>
    <n v="20007"/>
    <n v="14804.817468715541"/>
    <n v="5202.182531284463"/>
  </r>
  <r>
    <d v="2024-04-24T00:00:00"/>
    <x v="2"/>
    <s v="Headphones"/>
    <m/>
    <n v="4"/>
    <n v="125"/>
    <x v="0"/>
    <n v="500"/>
    <n v="330.00738497195618"/>
    <n v="169.99261502804379"/>
  </r>
  <r>
    <d v="2024-08-30T00:00:00"/>
    <x v="2"/>
    <s v="Smartwatch"/>
    <s v="Hannah"/>
    <n v="6"/>
    <m/>
    <x v="0"/>
    <m/>
    <m/>
    <m/>
  </r>
  <r>
    <d v="2024-10-18T00:00:00"/>
    <x v="0"/>
    <s v="Tablet"/>
    <m/>
    <n v="5"/>
    <n v="484"/>
    <x v="2"/>
    <n v="2420"/>
    <n v="1644.3985569871429"/>
    <n v="775.60144301285732"/>
  </r>
  <r>
    <d v="2024-10-08T00:00:00"/>
    <x v="3"/>
    <s v="Laptop"/>
    <s v="Alice"/>
    <n v="12"/>
    <n v="155"/>
    <x v="2"/>
    <n v="1860"/>
    <n v="1136.528215529107"/>
    <n v="723.47178447089254"/>
  </r>
  <r>
    <d v="2024-10-25T00:00:00"/>
    <x v="1"/>
    <s v="Printer"/>
    <s v="David"/>
    <n v="4"/>
    <n v="1376"/>
    <x v="1"/>
    <n v="5504"/>
    <n v="4648.57562623992"/>
    <n v="855.42437376008002"/>
  </r>
  <r>
    <d v="2024-10-09T00:00:00"/>
    <x v="4"/>
    <s v="Laptop"/>
    <s v="Charlie"/>
    <m/>
    <n v="733"/>
    <x v="2"/>
    <m/>
    <m/>
    <m/>
  </r>
  <r>
    <d v="2024-03-09T00:00:00"/>
    <x v="0"/>
    <s v="Headphones"/>
    <s v="Grace"/>
    <m/>
    <n v="205"/>
    <x v="0"/>
    <m/>
    <m/>
    <m/>
  </r>
  <r>
    <d v="2024-05-27T00:00:00"/>
    <x v="1"/>
    <s v="Monitor"/>
    <s v="Grace"/>
    <n v="19"/>
    <n v="1253"/>
    <x v="1"/>
    <n v="23807"/>
    <n v="17692.250202033119"/>
    <n v="6114.7497979668769"/>
  </r>
  <r>
    <d v="2024-01-11T00:00:00"/>
    <x v="0"/>
    <s v="Printer"/>
    <s v="Hannah"/>
    <n v="14"/>
    <n v="948"/>
    <x v="1"/>
    <n v="13272"/>
    <n v="9685.162369679947"/>
    <n v="3586.837630320053"/>
  </r>
  <r>
    <d v="2024-09-10T00:00:00"/>
    <x v="3"/>
    <s v="Smartwatch"/>
    <s v="Bob"/>
    <n v="5"/>
    <n v="769"/>
    <x v="0"/>
    <n v="3845"/>
    <n v="3144.0554584164261"/>
    <n v="700.94454158357439"/>
  </r>
  <r>
    <d v="2024-11-25T00:00:00"/>
    <x v="3"/>
    <s v="Printer"/>
    <s v="David"/>
    <n v="18"/>
    <n v="475"/>
    <x v="1"/>
    <n v="8550"/>
    <n v="6660.7319685628727"/>
    <n v="1889.2680314371271"/>
  </r>
  <r>
    <d v="2024-12-25T00:00:00"/>
    <x v="2"/>
    <s v="Monitor"/>
    <s v="David"/>
    <n v="10"/>
    <n v="842"/>
    <x v="1"/>
    <n v="8420"/>
    <n v="5798.1076075191086"/>
    <n v="2621.892392480891"/>
  </r>
  <r>
    <d v="2024-02-07T00:00:00"/>
    <x v="0"/>
    <s v="Laptop"/>
    <s v="Eva"/>
    <n v="19"/>
    <n v="1066"/>
    <x v="2"/>
    <n v="20254"/>
    <n v="12466.557767631881"/>
    <n v="7787.442232368121"/>
  </r>
  <r>
    <d v="2024-05-13T00:00:00"/>
    <x v="2"/>
    <s v="Laptop"/>
    <s v="David"/>
    <n v="12"/>
    <n v="407"/>
    <x v="2"/>
    <n v="4884"/>
    <n v="4055.0803672645538"/>
    <n v="828.91963273544616"/>
  </r>
  <r>
    <d v="2024-07-18T00:00:00"/>
    <x v="0"/>
    <s v="Tablet"/>
    <s v="Grace"/>
    <n v="18"/>
    <n v="190"/>
    <x v="2"/>
    <n v="3420"/>
    <n v="2413.692831972061"/>
    <n v="1006.307168027939"/>
  </r>
  <r>
    <d v="2024-01-23T00:00:00"/>
    <x v="3"/>
    <s v="Mobile"/>
    <s v="Frank"/>
    <n v="17"/>
    <n v="1516"/>
    <x v="2"/>
    <n v="25772"/>
    <n v="22342.19580751536"/>
    <n v="3429.804192484637"/>
  </r>
  <r>
    <d v="2024-10-29T00:00:00"/>
    <x v="3"/>
    <s v="Printer"/>
    <s v="Bob"/>
    <n v="11"/>
    <n v="1657"/>
    <x v="1"/>
    <n v="18227"/>
    <n v="13096.409943739931"/>
    <n v="5130.5900562600673"/>
  </r>
  <r>
    <d v="2024-12-11T00:00:00"/>
    <x v="3"/>
    <s v="Headphones"/>
    <s v="Bob"/>
    <n v="3"/>
    <n v="901"/>
    <x v="0"/>
    <n v="2703"/>
    <n v="2203.7493637170669"/>
    <n v="499.2506362829331"/>
  </r>
  <r>
    <d v="2024-10-28T00:00:00"/>
    <x v="0"/>
    <s v="Monitor"/>
    <s v="Charlie"/>
    <n v="17"/>
    <n v="209"/>
    <x v="1"/>
    <n v="3553"/>
    <n v="3133.282017177844"/>
    <n v="419.71798282215559"/>
  </r>
  <r>
    <d v="2024-12-28T00:00:00"/>
    <x v="3"/>
    <s v="Monitor"/>
    <s v="Charlie"/>
    <n v="1"/>
    <n v="1684"/>
    <x v="1"/>
    <n v="1684"/>
    <n v="1339.3622180610439"/>
    <n v="344.63778193895558"/>
  </r>
  <r>
    <d v="2024-08-05T00:00:00"/>
    <x v="0"/>
    <s v="Monitor"/>
    <m/>
    <n v="15"/>
    <n v="1764"/>
    <x v="1"/>
    <n v="26460"/>
    <n v="19158.2749945494"/>
    <n v="7301.7250054506039"/>
  </r>
  <r>
    <d v="2024-05-20T00:00:00"/>
    <x v="2"/>
    <s v="Headphones"/>
    <s v="Grace"/>
    <n v="9"/>
    <n v="684"/>
    <x v="0"/>
    <n v="6156"/>
    <n v="4741.4729695938786"/>
    <n v="1414.527030406121"/>
  </r>
  <r>
    <d v="2024-04-13T00:00:00"/>
    <x v="0"/>
    <s v="Mobile"/>
    <s v="Grace"/>
    <n v="15"/>
    <n v="439"/>
    <x v="2"/>
    <n v="6585"/>
    <n v="5024.5759699645087"/>
    <n v="1560.4240300354909"/>
  </r>
  <r>
    <d v="2024-07-28T00:00:00"/>
    <x v="2"/>
    <s v="Laptop"/>
    <s v="Hannah"/>
    <n v="3"/>
    <n v="1688"/>
    <x v="2"/>
    <n v="5064"/>
    <n v="3926.8585996837892"/>
    <n v="1137.141400316211"/>
  </r>
  <r>
    <d v="2024-04-20T00:00:00"/>
    <x v="0"/>
    <s v="Tablet"/>
    <s v="Grace"/>
    <n v="19"/>
    <n v="1078"/>
    <x v="2"/>
    <n v="20482"/>
    <n v="13191.350083771809"/>
    <n v="7290.6499162281871"/>
  </r>
  <r>
    <d v="2024-04-13T00:00:00"/>
    <x v="2"/>
    <s v="Tablet"/>
    <s v="Grace"/>
    <n v="13"/>
    <n v="455"/>
    <x v="2"/>
    <n v="5915"/>
    <n v="4788.5057863211241"/>
    <n v="1126.4942136788759"/>
  </r>
  <r>
    <d v="2024-11-11T00:00:00"/>
    <x v="3"/>
    <s v="Headphones"/>
    <s v="Grace"/>
    <n v="12"/>
    <n v="267"/>
    <x v="0"/>
    <n v="3204"/>
    <n v="2061.815592728422"/>
    <n v="1142.184407271578"/>
  </r>
  <r>
    <d v="2024-06-19T00:00:00"/>
    <x v="2"/>
    <s v="Tablet"/>
    <s v="Grace"/>
    <n v="1"/>
    <n v="656"/>
    <x v="2"/>
    <n v="656"/>
    <n v="396.47660283370641"/>
    <n v="259.52339716629359"/>
  </r>
  <r>
    <d v="2024-12-21T00:00:00"/>
    <x v="3"/>
    <s v="Monitor"/>
    <s v="Frank"/>
    <n v="17"/>
    <n v="1575"/>
    <x v="1"/>
    <n v="26775"/>
    <n v="21083.546158744739"/>
    <n v="5691.4538412552611"/>
  </r>
  <r>
    <d v="2024-11-19T00:00:00"/>
    <x v="3"/>
    <s v="Camera"/>
    <s v="Grace"/>
    <n v="13"/>
    <n v="1004"/>
    <x v="2"/>
    <n v="13052"/>
    <n v="8288.9867832107448"/>
    <n v="4763.0132167892552"/>
  </r>
  <r>
    <d v="2024-05-12T00:00:00"/>
    <x v="2"/>
    <s v="Mobile"/>
    <s v="Hannah"/>
    <n v="1"/>
    <n v="204"/>
    <x v="2"/>
    <n v="204"/>
    <n v="169.54919216672991"/>
    <n v="34.450807833270062"/>
  </r>
  <r>
    <d v="2024-10-19T00:00:00"/>
    <x v="0"/>
    <s v="Laptop"/>
    <s v="David"/>
    <n v="10"/>
    <n v="249"/>
    <x v="2"/>
    <n v="2490"/>
    <n v="2140.876567265113"/>
    <n v="349.12343273488699"/>
  </r>
  <r>
    <d v="2024-11-23T00:00:00"/>
    <x v="4"/>
    <s v="Camera"/>
    <s v="David"/>
    <n v="15"/>
    <n v="245"/>
    <x v="2"/>
    <n v="3675"/>
    <n v="3246.5723112880291"/>
    <n v="428.42768871197092"/>
  </r>
  <r>
    <d v="2024-05-06T00:00:00"/>
    <x v="1"/>
    <s v="Mobile"/>
    <s v="Eva"/>
    <n v="7"/>
    <n v="815"/>
    <x v="2"/>
    <n v="5705"/>
    <n v="4560.2523220142893"/>
    <n v="1144.7476779857111"/>
  </r>
  <r>
    <d v="2024-04-15T00:00:00"/>
    <x v="0"/>
    <s v="Smartwatch"/>
    <s v="Frank"/>
    <n v="18"/>
    <n v="973"/>
    <x v="0"/>
    <n v="17514"/>
    <n v="13041.002650234739"/>
    <n v="4472.9973497652554"/>
  </r>
  <r>
    <d v="2024-04-01T00:00:00"/>
    <x v="1"/>
    <s v="Printer"/>
    <s v="Charlie"/>
    <n v="16"/>
    <n v="398"/>
    <x v="1"/>
    <n v="6368"/>
    <n v="4493.7977765803589"/>
    <n v="1874.2022234196411"/>
  </r>
  <r>
    <d v="2024-10-13T00:00:00"/>
    <x v="0"/>
    <s v="Smartwatch"/>
    <s v="Alice"/>
    <n v="14"/>
    <n v="1290"/>
    <x v="0"/>
    <n v="18060"/>
    <n v="13495.83215921794"/>
    <n v="4564.16784078206"/>
  </r>
  <r>
    <d v="2024-02-20T00:00:00"/>
    <x v="0"/>
    <s v="Monitor"/>
    <s v="Grace"/>
    <n v="18"/>
    <n v="1836"/>
    <x v="1"/>
    <n v="33048"/>
    <n v="21716.028132855488"/>
    <n v="11331.97186714451"/>
  </r>
  <r>
    <d v="2024-01-29T00:00:00"/>
    <x v="3"/>
    <s v="Tablet"/>
    <s v="Eva"/>
    <n v="7"/>
    <n v="745"/>
    <x v="2"/>
    <n v="5215"/>
    <n v="3674.1072324660358"/>
    <n v="1540.8927675339639"/>
  </r>
  <r>
    <d v="2024-10-22T00:00:00"/>
    <x v="1"/>
    <s v="Smartwatch"/>
    <s v="Alice"/>
    <n v="17"/>
    <n v="822"/>
    <x v="0"/>
    <n v="13974"/>
    <n v="11394.10834621118"/>
    <n v="2579.8916537888181"/>
  </r>
  <r>
    <d v="2024-10-23T00:00:00"/>
    <x v="0"/>
    <s v="Tablet"/>
    <s v="Hannah"/>
    <n v="18"/>
    <n v="1171"/>
    <x v="2"/>
    <n v="21078"/>
    <n v="14021.65241567008"/>
    <n v="7056.3475843299166"/>
  </r>
  <r>
    <d v="2024-08-01T00:00:00"/>
    <x v="1"/>
    <s v="Camera"/>
    <s v="David"/>
    <n v="12"/>
    <n v="737"/>
    <x v="2"/>
    <n v="8844"/>
    <n v="6007.0229243693684"/>
    <n v="2836.977075630632"/>
  </r>
  <r>
    <d v="2024-09-23T00:00:00"/>
    <x v="3"/>
    <s v="Laptop"/>
    <s v="Eva"/>
    <n v="8"/>
    <n v="338"/>
    <x v="2"/>
    <n v="2704"/>
    <n v="2230.2550810302068"/>
    <n v="473.74491896979322"/>
  </r>
  <r>
    <d v="2024-09-13T00:00:00"/>
    <x v="3"/>
    <s v="Laptop"/>
    <s v="Hannah"/>
    <n v="2"/>
    <n v="1130"/>
    <x v="2"/>
    <n v="2260"/>
    <n v="1476.5727644908559"/>
    <n v="783.42723550914434"/>
  </r>
  <r>
    <d v="2024-10-28T00:00:00"/>
    <x v="1"/>
    <s v="Laptop"/>
    <s v="Eva"/>
    <n v="7"/>
    <n v="563"/>
    <x v="2"/>
    <n v="3941"/>
    <n v="2655.312893487474"/>
    <n v="1285.687106512526"/>
  </r>
  <r>
    <d v="2024-04-10T00:00:00"/>
    <x v="4"/>
    <s v="Monitor"/>
    <s v="Bob"/>
    <n v="4"/>
    <n v="552"/>
    <x v="1"/>
    <n v="2208"/>
    <n v="1336.423505613724"/>
    <n v="871.57649438627641"/>
  </r>
  <r>
    <d v="2024-12-11T00:00:00"/>
    <x v="2"/>
    <s v="Tablet"/>
    <s v="Hannah"/>
    <n v="18"/>
    <n v="883"/>
    <x v="2"/>
    <n v="15894"/>
    <n v="12969.7500369033"/>
    <n v="2924.2499630967031"/>
  </r>
  <r>
    <d v="2024-04-19T00:00:00"/>
    <x v="2"/>
    <s v="Smartwatch"/>
    <s v="David"/>
    <n v="6"/>
    <n v="996"/>
    <x v="0"/>
    <n v="5976"/>
    <n v="4693.3775123475016"/>
    <n v="1282.622487652498"/>
  </r>
  <r>
    <d v="2024-06-30T00:00:00"/>
    <x v="3"/>
    <s v="Laptop"/>
    <s v="David"/>
    <n v="9"/>
    <n v="470"/>
    <x v="2"/>
    <n v="4230"/>
    <n v="3419.1751392371461"/>
    <n v="810.82486076285386"/>
  </r>
  <r>
    <d v="2024-11-08T00:00:00"/>
    <x v="2"/>
    <s v="Smartwatch"/>
    <s v="Frank"/>
    <n v="9"/>
    <n v="1672"/>
    <x v="0"/>
    <n v="15048"/>
    <n v="9996.3612485620361"/>
    <n v="5051.6387514379639"/>
  </r>
  <r>
    <d v="2024-01-01T00:00:00"/>
    <x v="3"/>
    <s v="Tablet"/>
    <s v="Eva"/>
    <n v="14"/>
    <n v="586"/>
    <x v="2"/>
    <n v="8204"/>
    <n v="6614.1707728594374"/>
    <n v="1589.829227140563"/>
  </r>
  <r>
    <d v="2024-11-14T00:00:00"/>
    <x v="4"/>
    <s v="Monitor"/>
    <s v="Grace"/>
    <n v="8"/>
    <n v="1334"/>
    <x v="1"/>
    <n v="10672"/>
    <n v="8312.5593792067302"/>
    <n v="2359.4406207932702"/>
  </r>
  <r>
    <d v="2024-02-24T00:00:00"/>
    <x v="0"/>
    <s v="Camera"/>
    <s v="David"/>
    <n v="19"/>
    <n v="264"/>
    <x v="2"/>
    <n v="5016"/>
    <n v="3560.54185913327"/>
    <n v="1455.45814086673"/>
  </r>
  <r>
    <d v="2024-05-28T00:00:00"/>
    <x v="1"/>
    <s v="Monitor"/>
    <s v="Eva"/>
    <n v="3"/>
    <n v="1248"/>
    <x v="1"/>
    <n v="3744"/>
    <n v="2738.1659516277632"/>
    <n v="1005.834048372237"/>
  </r>
  <r>
    <d v="2024-11-04T00:00:00"/>
    <x v="3"/>
    <s v="Smartwatch"/>
    <s v="Frank"/>
    <n v="18"/>
    <n v="1460"/>
    <x v="0"/>
    <n v="26280"/>
    <n v="20245.485247807552"/>
    <n v="6034.5147521924519"/>
  </r>
  <r>
    <d v="2024-05-16T00:00:00"/>
    <x v="0"/>
    <s v="Monitor"/>
    <s v="Grace"/>
    <n v="5"/>
    <n v="291"/>
    <x v="1"/>
    <n v="1455"/>
    <n v="1088.322034862219"/>
    <n v="366.67796513778148"/>
  </r>
  <r>
    <d v="2024-07-20T00:00:00"/>
    <x v="3"/>
    <s v="Monitor"/>
    <s v="Hannah"/>
    <n v="14"/>
    <n v="829"/>
    <x v="1"/>
    <n v="11606"/>
    <n v="9198.3169600921574"/>
    <n v="2407.6830399078431"/>
  </r>
  <r>
    <d v="2024-11-08T00:00:00"/>
    <x v="3"/>
    <s v="Camera"/>
    <s v="Frank"/>
    <n v="4"/>
    <n v="313"/>
    <x v="2"/>
    <n v="1252"/>
    <n v="819.17592934881179"/>
    <n v="432.82407065118821"/>
  </r>
  <r>
    <d v="2024-04-26T00:00:00"/>
    <x v="1"/>
    <s v="Tablet"/>
    <s v="Bob"/>
    <n v="7"/>
    <n v="673"/>
    <x v="2"/>
    <n v="4711"/>
    <n v="3590.785379283061"/>
    <n v="1120.214620716939"/>
  </r>
  <r>
    <d v="2024-06-02T00:00:00"/>
    <x v="1"/>
    <s v="Tablet"/>
    <s v="Grace"/>
    <n v="12"/>
    <n v="1451"/>
    <x v="2"/>
    <n v="17412"/>
    <n v="12799.27990669121"/>
    <n v="4612.7200933087861"/>
  </r>
  <r>
    <d v="2024-10-17T00:00:00"/>
    <x v="1"/>
    <s v="Headphones"/>
    <s v="Eva"/>
    <n v="2"/>
    <n v="1056"/>
    <x v="0"/>
    <n v="2112"/>
    <n v="1559.302585007269"/>
    <n v="552.69741499273073"/>
  </r>
  <r>
    <d v="2024-03-03T00:00:00"/>
    <x v="0"/>
    <s v="Monitor"/>
    <s v="David"/>
    <n v="11"/>
    <n v="480"/>
    <x v="1"/>
    <n v="5280"/>
    <n v="3911.5011681228311"/>
    <n v="1368.4988318771691"/>
  </r>
  <r>
    <d v="2024-08-31T00:00:00"/>
    <x v="2"/>
    <s v="Tablet"/>
    <s v="David"/>
    <n v="14"/>
    <n v="772"/>
    <x v="2"/>
    <n v="10808"/>
    <n v="9342.8846954974815"/>
    <n v="1465.115304502518"/>
  </r>
  <r>
    <d v="2024-01-25T00:00:00"/>
    <x v="1"/>
    <s v="Tablet"/>
    <s v="Eva"/>
    <n v="16"/>
    <n v="1701"/>
    <x v="2"/>
    <n v="27216"/>
    <n v="23013.529331392241"/>
    <n v="4202.4706686077616"/>
  </r>
  <r>
    <d v="2024-03-30T00:00:00"/>
    <x v="1"/>
    <s v="Mobile"/>
    <s v="Eva"/>
    <n v="6"/>
    <n v="897"/>
    <x v="2"/>
    <n v="5382"/>
    <n v="4245.7036593059493"/>
    <n v="1136.296340694051"/>
  </r>
  <r>
    <d v="2024-03-15T00:00:00"/>
    <x v="0"/>
    <s v="Laptop"/>
    <s v="Eva"/>
    <n v="4"/>
    <n v="338"/>
    <x v="2"/>
    <n v="1352"/>
    <n v="1101.807101080321"/>
    <n v="250.19289891967921"/>
  </r>
  <r>
    <d v="2024-10-20T00:00:00"/>
    <x v="1"/>
    <s v="Headphones"/>
    <s v="Charlie"/>
    <n v="15"/>
    <n v="1655"/>
    <x v="0"/>
    <n v="24825"/>
    <n v="15213.772632117219"/>
    <n v="9611.2273678827769"/>
  </r>
  <r>
    <d v="2024-07-28T00:00:00"/>
    <x v="0"/>
    <s v="Printer"/>
    <s v="Grace"/>
    <n v="1"/>
    <n v="799"/>
    <x v="1"/>
    <n v="799"/>
    <n v="657.73481513530658"/>
    <n v="141.2651848646934"/>
  </r>
  <r>
    <d v="2024-12-12T00:00:00"/>
    <x v="3"/>
    <s v="Headphones"/>
    <s v="David"/>
    <n v="7"/>
    <n v="1205"/>
    <x v="0"/>
    <n v="8435"/>
    <n v="6291.2397441319572"/>
    <n v="2143.7602558680428"/>
  </r>
  <r>
    <d v="2024-01-17T00:00:00"/>
    <x v="1"/>
    <s v="Headphones"/>
    <s v="Grace"/>
    <n v="12"/>
    <n v="1486"/>
    <x v="0"/>
    <n v="17832"/>
    <n v="12399.022371306661"/>
    <n v="5432.9776286933366"/>
  </r>
  <r>
    <d v="2024-05-07T00:00:00"/>
    <x v="1"/>
    <s v="Printer"/>
    <s v="Frank"/>
    <n v="10"/>
    <n v="604"/>
    <x v="1"/>
    <n v="6040"/>
    <n v="3877.2758622799151"/>
    <n v="2162.7241377200849"/>
  </r>
  <r>
    <d v="2024-12-29T00:00:00"/>
    <x v="3"/>
    <s v="Mobile"/>
    <s v="David"/>
    <n v="5"/>
    <n v="301"/>
    <x v="2"/>
    <n v="1505"/>
    <n v="936.95676884392435"/>
    <n v="568.04323115607565"/>
  </r>
  <r>
    <d v="2024-09-07T00:00:00"/>
    <x v="3"/>
    <s v="Monitor"/>
    <m/>
    <n v="12"/>
    <n v="1019"/>
    <x v="1"/>
    <n v="12228"/>
    <n v="7501.4586486761791"/>
    <n v="4726.5413513238209"/>
  </r>
  <r>
    <d v="2024-06-27T00:00:00"/>
    <x v="3"/>
    <s v="Camera"/>
    <s v="Eva"/>
    <n v="18"/>
    <n v="1627"/>
    <x v="2"/>
    <n v="29286"/>
    <n v="18993.108833350681"/>
    <n v="10292.89116664932"/>
  </r>
  <r>
    <d v="2024-06-30T00:00:00"/>
    <x v="1"/>
    <s v="Tablet"/>
    <s v="Bob"/>
    <n v="10"/>
    <n v="1767"/>
    <x v="2"/>
    <n v="17670"/>
    <n v="10761.79225622283"/>
    <n v="6908.2077437771732"/>
  </r>
  <r>
    <d v="2024-05-31T00:00:00"/>
    <x v="2"/>
    <s v="Laptop"/>
    <s v="Eva"/>
    <n v="6"/>
    <n v="136"/>
    <x v="2"/>
    <n v="816"/>
    <n v="668.95082094992904"/>
    <n v="147.04917905007099"/>
  </r>
  <r>
    <d v="2024-01-25T00:00:00"/>
    <x v="2"/>
    <s v="Smartwatch"/>
    <s v="Hannah"/>
    <n v="12"/>
    <n v="743"/>
    <x v="0"/>
    <n v="8916"/>
    <n v="6014.5930455593498"/>
    <n v="2901.4069544406502"/>
  </r>
  <r>
    <d v="2024-06-28T00:00:00"/>
    <x v="2"/>
    <s v="Monitor"/>
    <s v="Eva"/>
    <n v="7"/>
    <n v="1712"/>
    <x v="1"/>
    <n v="11984"/>
    <n v="8516.0955829059603"/>
    <n v="3467.9044170940401"/>
  </r>
  <r>
    <d v="2024-07-16T00:00:00"/>
    <x v="1"/>
    <s v="Printer"/>
    <s v="Charlie"/>
    <n v="18"/>
    <n v="1724"/>
    <x v="1"/>
    <n v="31032"/>
    <n v="26278.35886414034"/>
    <n v="4753.6411358596561"/>
  </r>
  <r>
    <d v="2024-12-09T00:00:00"/>
    <x v="3"/>
    <s v="Camera"/>
    <s v="Grace"/>
    <n v="2"/>
    <n v="1525"/>
    <x v="2"/>
    <n v="3050"/>
    <n v="1934.91160932"/>
    <n v="1115.08839068"/>
  </r>
  <r>
    <d v="2024-06-09T00:00:00"/>
    <x v="1"/>
    <s v="Monitor"/>
    <s v="David"/>
    <n v="10"/>
    <n v="864"/>
    <x v="1"/>
    <n v="8640"/>
    <n v="7349.8597263722631"/>
    <n v="1290.1402736277371"/>
  </r>
  <r>
    <d v="2024-06-25T00:00:00"/>
    <x v="3"/>
    <s v="Printer"/>
    <s v="Eva"/>
    <n v="15"/>
    <n v="1979"/>
    <x v="1"/>
    <n v="29685"/>
    <n v="23506.426591825591"/>
    <n v="6178.5734081744095"/>
  </r>
  <r>
    <d v="2024-10-11T00:00:00"/>
    <x v="1"/>
    <s v="Tablet"/>
    <s v="David"/>
    <n v="12"/>
    <n v="805"/>
    <x v="2"/>
    <n v="9660"/>
    <n v="6787.2015333241388"/>
    <n v="2872.7984666758612"/>
  </r>
  <r>
    <d v="2024-03-03T00:00:00"/>
    <x v="1"/>
    <s v="Mobile"/>
    <s v="Alice"/>
    <n v="17"/>
    <n v="1299"/>
    <x v="2"/>
    <n v="22083"/>
    <n v="14030.2610058521"/>
    <n v="8052.7389941478978"/>
  </r>
  <r>
    <d v="2024-05-29T00:00:00"/>
    <x v="3"/>
    <s v="Monitor"/>
    <s v="Frank"/>
    <n v="4"/>
    <n v="644"/>
    <x v="1"/>
    <n v="2576"/>
    <n v="1616.305556505057"/>
    <n v="959.69444349494279"/>
  </r>
  <r>
    <d v="2024-06-02T00:00:00"/>
    <x v="2"/>
    <s v="Printer"/>
    <s v="Grace"/>
    <n v="7"/>
    <n v="1693"/>
    <x v="1"/>
    <n v="11851"/>
    <n v="8303.4541546158089"/>
    <n v="3547.5458453841911"/>
  </r>
  <r>
    <d v="2024-06-04T00:00:00"/>
    <x v="3"/>
    <s v="Tablet"/>
    <s v="David"/>
    <n v="9"/>
    <n v="1590"/>
    <x v="2"/>
    <n v="14310"/>
    <n v="9188.4880888785701"/>
    <n v="5121.5119111214299"/>
  </r>
  <r>
    <d v="2024-02-18T00:00:00"/>
    <x v="0"/>
    <s v="Tablet"/>
    <s v="Bob"/>
    <n v="19"/>
    <n v="1324"/>
    <x v="2"/>
    <n v="25156"/>
    <n v="17113.956065439601"/>
    <n v="8042.0439345603954"/>
  </r>
  <r>
    <d v="2024-12-02T00:00:00"/>
    <x v="0"/>
    <s v="Mobile"/>
    <s v="Frank"/>
    <m/>
    <m/>
    <x v="2"/>
    <m/>
    <m/>
    <m/>
  </r>
  <r>
    <d v="2024-03-24T00:00:00"/>
    <x v="3"/>
    <s v="Headphones"/>
    <s v="Hannah"/>
    <n v="2"/>
    <n v="1670"/>
    <x v="0"/>
    <n v="3340"/>
    <n v="2600.198438540092"/>
    <n v="739.80156145990759"/>
  </r>
  <r>
    <d v="2024-12-26T00:00:00"/>
    <x v="1"/>
    <m/>
    <s v="Hannah"/>
    <n v="6"/>
    <m/>
    <x v="1"/>
    <m/>
    <m/>
    <m/>
  </r>
  <r>
    <d v="2024-06-25T00:00:00"/>
    <x v="0"/>
    <s v="Monitor"/>
    <s v="Bob"/>
    <n v="18"/>
    <n v="1760"/>
    <x v="1"/>
    <n v="31680"/>
    <n v="26199.983903945958"/>
    <n v="5480.0160960540379"/>
  </r>
  <r>
    <d v="2024-05-27T00:00:00"/>
    <x v="0"/>
    <s v="Headphones"/>
    <s v="Eva"/>
    <n v="6"/>
    <n v="493"/>
    <x v="0"/>
    <n v="2958"/>
    <n v="1968.408473949072"/>
    <n v="989.59152605092777"/>
  </r>
  <r>
    <d v="2024-04-27T00:00:00"/>
    <x v="1"/>
    <s v="Laptop"/>
    <s v="Frank"/>
    <n v="13"/>
    <n v="932"/>
    <x v="2"/>
    <n v="12116"/>
    <n v="10170.08527057844"/>
    <n v="1945.914729421562"/>
  </r>
  <r>
    <d v="2024-12-07T00:00:00"/>
    <x v="1"/>
    <s v="Laptop"/>
    <s v="David"/>
    <n v="19"/>
    <n v="1165"/>
    <x v="2"/>
    <n v="22135"/>
    <n v="14541.911329532881"/>
    <n v="7593.0886704671248"/>
  </r>
  <r>
    <d v="2024-03-03T00:00:00"/>
    <x v="2"/>
    <s v="Headphones"/>
    <s v="Frank"/>
    <n v="2"/>
    <n v="696"/>
    <x v="0"/>
    <n v="1392"/>
    <n v="1136.4426770016621"/>
    <n v="255.5573229983377"/>
  </r>
  <r>
    <d v="2024-07-07T00:00:00"/>
    <x v="1"/>
    <s v="Camera"/>
    <s v="Eva"/>
    <n v="12"/>
    <n v="492"/>
    <x v="2"/>
    <n v="5904"/>
    <n v="4132.3418725521497"/>
    <n v="1771.6581274478499"/>
  </r>
  <r>
    <d v="2024-12-25T00:00:00"/>
    <x v="3"/>
    <s v="Smartwatch"/>
    <s v="Charlie"/>
    <n v="15"/>
    <n v="799"/>
    <x v="0"/>
    <n v="11985"/>
    <n v="9287.6079416234297"/>
    <n v="2697.3920583765698"/>
  </r>
  <r>
    <d v="2024-02-18T00:00:00"/>
    <x v="3"/>
    <s v="Tablet"/>
    <s v="Grace"/>
    <n v="14"/>
    <n v="1746"/>
    <x v="2"/>
    <n v="24444"/>
    <n v="14949.91481678417"/>
    <n v="9494.0851832158278"/>
  </r>
  <r>
    <d v="2024-11-22T00:00:00"/>
    <x v="2"/>
    <s v="Smartwatch"/>
    <s v="Bob"/>
    <n v="6"/>
    <n v="1906"/>
    <x v="0"/>
    <n v="11436"/>
    <n v="8560.6846053825866"/>
    <n v="2875.3153946174129"/>
  </r>
  <r>
    <d v="2024-09-13T00:00:00"/>
    <x v="0"/>
    <s v="Tablet"/>
    <s v="Eva"/>
    <n v="18"/>
    <n v="540"/>
    <x v="2"/>
    <n v="9720"/>
    <n v="6265.5739009512163"/>
    <n v="3454.4260990487842"/>
  </r>
  <r>
    <d v="2024-08-11T00:00:00"/>
    <x v="2"/>
    <s v="Headphones"/>
    <s v="Charlie"/>
    <n v="5"/>
    <n v="1960"/>
    <x v="0"/>
    <n v="9800"/>
    <n v="7309.7814681121381"/>
    <n v="2490.2185318878619"/>
  </r>
  <r>
    <d v="2024-05-20T00:00:00"/>
    <x v="1"/>
    <s v="Laptop"/>
    <s v="Frank"/>
    <n v="18"/>
    <n v="1740"/>
    <x v="2"/>
    <n v="31320"/>
    <n v="20120.210393806261"/>
    <n v="11199.789606193741"/>
  </r>
  <r>
    <d v="2024-08-02T00:00:00"/>
    <x v="3"/>
    <s v="Camera"/>
    <s v="Frank"/>
    <n v="3"/>
    <n v="1629"/>
    <x v="2"/>
    <n v="4887"/>
    <n v="3573.0163590363309"/>
    <n v="1313.9836409636689"/>
  </r>
  <r>
    <d v="2024-07-29T00:00:00"/>
    <x v="0"/>
    <s v="Laptop"/>
    <s v="Eva"/>
    <n v="3"/>
    <n v="1017"/>
    <x v="2"/>
    <n v="3051"/>
    <n v="1931.851236758614"/>
    <n v="1119.148763241386"/>
  </r>
  <r>
    <d v="2024-11-13T00:00:00"/>
    <x v="2"/>
    <s v="Smartwatch"/>
    <s v="David"/>
    <n v="10"/>
    <n v="419"/>
    <x v="0"/>
    <n v="4190"/>
    <n v="2790.4790577920098"/>
    <n v="1399.5209422079899"/>
  </r>
  <r>
    <d v="2024-02-01T00:00:00"/>
    <x v="2"/>
    <s v="Laptop"/>
    <s v="Frank"/>
    <n v="19"/>
    <n v="652"/>
    <x v="2"/>
    <n v="12388"/>
    <n v="9644.351355906525"/>
    <n v="2743.648644093475"/>
  </r>
  <r>
    <d v="2024-06-06T00:00:00"/>
    <x v="3"/>
    <s v="Headphones"/>
    <s v="David"/>
    <n v="3"/>
    <n v="1338"/>
    <x v="0"/>
    <n v="4014"/>
    <n v="3584.4947393284529"/>
    <n v="429.50526067154669"/>
  </r>
  <r>
    <d v="2024-10-11T00:00:00"/>
    <x v="2"/>
    <s v="Camera"/>
    <s v="David"/>
    <n v="12"/>
    <n v="1194"/>
    <x v="2"/>
    <n v="14328"/>
    <n v="10527.575808456049"/>
    <n v="3800.424191543947"/>
  </r>
  <r>
    <d v="2024-10-31T00:00:00"/>
    <x v="2"/>
    <s v="Smartwatch"/>
    <s v="Grace"/>
    <n v="16"/>
    <n v="667"/>
    <x v="0"/>
    <n v="10672"/>
    <n v="8603.2552942585826"/>
    <n v="2068.744705741417"/>
  </r>
  <r>
    <d v="2024-10-12T00:00:00"/>
    <x v="3"/>
    <s v="Camera"/>
    <s v="David"/>
    <n v="17"/>
    <n v="1018"/>
    <x v="2"/>
    <n v="17306"/>
    <n v="13184.18500712819"/>
    <n v="4121.8149928718121"/>
  </r>
  <r>
    <d v="2024-05-23T00:00:00"/>
    <x v="1"/>
    <s v="Monitor"/>
    <s v="Alice"/>
    <n v="7"/>
    <n v="335"/>
    <x v="1"/>
    <n v="2345"/>
    <n v="1757.5948067761369"/>
    <n v="587.40519322386308"/>
  </r>
  <r>
    <d v="2024-01-19T00:00:00"/>
    <x v="1"/>
    <s v="Tablet"/>
    <s v="Grace"/>
    <n v="13"/>
    <n v="1404"/>
    <x v="2"/>
    <n v="18252"/>
    <n v="11305.494300216291"/>
    <n v="6946.505699783711"/>
  </r>
  <r>
    <d v="2024-01-18T00:00:00"/>
    <x v="2"/>
    <s v="Laptop"/>
    <s v="Charlie"/>
    <n v="2"/>
    <n v="1086"/>
    <x v="2"/>
    <n v="2172"/>
    <n v="1397.2241873225721"/>
    <n v="774.77581267742812"/>
  </r>
  <r>
    <d v="2024-09-13T00:00:00"/>
    <x v="1"/>
    <s v="Camera"/>
    <s v="Charlie"/>
    <n v="4"/>
    <n v="1740"/>
    <x v="2"/>
    <n v="6960"/>
    <n v="6019.8245386376011"/>
    <n v="940.17546136239889"/>
  </r>
  <r>
    <d v="2024-03-18T00:00:00"/>
    <x v="1"/>
    <s v="Mobile"/>
    <s v="Frank"/>
    <n v="10"/>
    <n v="1285"/>
    <x v="2"/>
    <n v="12850"/>
    <n v="9291.1834344861509"/>
    <n v="3558.8165655138491"/>
  </r>
  <r>
    <d v="2024-06-23T00:00:00"/>
    <x v="2"/>
    <s v="Monitor"/>
    <s v="Frank"/>
    <n v="7"/>
    <n v="1314"/>
    <x v="1"/>
    <n v="9198"/>
    <n v="7213.9890358880721"/>
    <n v="1984.0109641119279"/>
  </r>
  <r>
    <d v="2024-07-12T00:00:00"/>
    <x v="1"/>
    <s v="Laptop"/>
    <s v="David"/>
    <n v="17"/>
    <n v="1132"/>
    <x v="2"/>
    <n v="19244"/>
    <n v="14595.99609911"/>
    <n v="4648.0039008900039"/>
  </r>
  <r>
    <d v="2024-04-22T00:00:00"/>
    <x v="2"/>
    <s v="Tablet"/>
    <s v="Grace"/>
    <n v="6"/>
    <n v="159"/>
    <x v="2"/>
    <n v="954"/>
    <n v="680.83613702756338"/>
    <n v="273.16386297243662"/>
  </r>
  <r>
    <d v="2024-04-23T00:00:00"/>
    <x v="0"/>
    <s v="Camera"/>
    <s v="Grace"/>
    <n v="19"/>
    <n v="992"/>
    <x v="2"/>
    <n v="18848"/>
    <n v="13501.66985853925"/>
    <n v="5346.3301414607522"/>
  </r>
  <r>
    <d v="2024-08-09T00:00:00"/>
    <x v="3"/>
    <s v="Smartwatch"/>
    <s v="Alice"/>
    <n v="5"/>
    <n v="1940"/>
    <x v="0"/>
    <n v="9700"/>
    <n v="7436.4031671942384"/>
    <n v="2263.596832805762"/>
  </r>
  <r>
    <d v="2024-06-14T00:00:00"/>
    <x v="3"/>
    <s v="Tablet"/>
    <s v="David"/>
    <n v="10"/>
    <n v="324"/>
    <x v="2"/>
    <n v="3240"/>
    <n v="2081.1898310344232"/>
    <n v="1158.8101689655771"/>
  </r>
  <r>
    <d v="2024-11-14T00:00:00"/>
    <x v="1"/>
    <s v="Mobile"/>
    <s v="Alice"/>
    <n v="9"/>
    <n v="1942"/>
    <x v="2"/>
    <n v="17478"/>
    <n v="12517.3540516701"/>
    <n v="4960.6459483299004"/>
  </r>
  <r>
    <d v="2024-05-11T00:00:00"/>
    <x v="1"/>
    <s v="Camera"/>
    <s v="Hannah"/>
    <n v="13"/>
    <n v="799"/>
    <x v="2"/>
    <n v="10387"/>
    <n v="7625.0205718158759"/>
    <n v="2761.9794281841241"/>
  </r>
  <r>
    <d v="2024-09-20T00:00:00"/>
    <x v="1"/>
    <s v="Printer"/>
    <s v="David"/>
    <n v="19"/>
    <n v="681"/>
    <x v="1"/>
    <n v="12939"/>
    <n v="11587.364462443609"/>
    <n v="1351.6355375563869"/>
  </r>
  <r>
    <d v="2024-02-24T00:00:00"/>
    <x v="3"/>
    <s v="Printer"/>
    <s v="Bob"/>
    <n v="6"/>
    <n v="1928"/>
    <x v="1"/>
    <n v="11568"/>
    <n v="8160.4886313291536"/>
    <n v="3407.511368670846"/>
  </r>
  <r>
    <d v="2024-12-24T00:00:00"/>
    <x v="0"/>
    <s v="Headphones"/>
    <s v="Bob"/>
    <n v="4"/>
    <n v="1410"/>
    <x v="0"/>
    <n v="5640"/>
    <n v="4474.6274918304307"/>
    <n v="1165.3725081695691"/>
  </r>
  <r>
    <d v="2024-05-10T00:00:00"/>
    <x v="0"/>
    <s v="Laptop"/>
    <s v="Eva"/>
    <n v="-1"/>
    <n v="1093"/>
    <x v="2"/>
    <n v="-1093"/>
    <n v="-700.8585423930989"/>
    <n v="-392.1414576069011"/>
  </r>
  <r>
    <d v="2024-10-14T00:00:00"/>
    <x v="3"/>
    <s v="Smartwatch"/>
    <s v="David"/>
    <n v="3"/>
    <n v="268"/>
    <x v="0"/>
    <n v="804"/>
    <n v="498.19410929744879"/>
    <n v="305.80589070255121"/>
  </r>
  <r>
    <d v="2024-09-22T00:00:00"/>
    <x v="0"/>
    <s v="Headphones"/>
    <s v="Grace"/>
    <n v="4"/>
    <n v="1185"/>
    <x v="0"/>
    <n v="4740"/>
    <n v="4083.3327439097502"/>
    <n v="656.66725609025025"/>
  </r>
  <r>
    <d v="2024-12-31T00:00:00"/>
    <x v="3"/>
    <s v="Camera"/>
    <s v="Frank"/>
    <n v="5"/>
    <n v="1472"/>
    <x v="2"/>
    <n v="7360"/>
    <n v="6029.4626645117551"/>
    <n v="1330.5373354882449"/>
  </r>
  <r>
    <d v="2024-06-10T00:00:00"/>
    <x v="0"/>
    <s v="Printer"/>
    <s v="Charlie"/>
    <n v="8"/>
    <n v="1565"/>
    <x v="1"/>
    <n v="12520"/>
    <n v="8704.5273242052008"/>
    <n v="3815.4726757947992"/>
  </r>
  <r>
    <d v="2024-03-27T00:00:00"/>
    <x v="2"/>
    <s v="Printer"/>
    <s v="Eva"/>
    <n v="16"/>
    <n v="113"/>
    <x v="1"/>
    <n v="1808"/>
    <n v="1358.483108771457"/>
    <n v="449.51689122854299"/>
  </r>
  <r>
    <d v="2024-02-24T00:00:00"/>
    <x v="2"/>
    <s v="Printer"/>
    <s v="Frank"/>
    <n v="3"/>
    <n v="263"/>
    <x v="1"/>
    <n v="789"/>
    <n v="505.53064845975013"/>
    <n v="283.46935154024987"/>
  </r>
  <r>
    <d v="2024-10-14T00:00:00"/>
    <x v="3"/>
    <s v="Camera"/>
    <s v="Bob"/>
    <n v="12"/>
    <n v="1543"/>
    <x v="2"/>
    <n v="18516"/>
    <n v="15037.734001004879"/>
    <n v="3478.2659989951171"/>
  </r>
  <r>
    <d v="2024-06-26T00:00:00"/>
    <x v="0"/>
    <s v="Printer"/>
    <s v="David"/>
    <n v="8"/>
    <n v="856"/>
    <x v="1"/>
    <n v="6848"/>
    <n v="4253.2871683844342"/>
    <n v="2594.7128316155658"/>
  </r>
  <r>
    <d v="2024-12-14T00:00:00"/>
    <x v="1"/>
    <s v="Tablet"/>
    <s v="Eva"/>
    <n v="13"/>
    <n v="1970"/>
    <x v="2"/>
    <n v="25610"/>
    <n v="21182.284976479259"/>
    <n v="4427.7150235207446"/>
  </r>
  <r>
    <d v="2024-01-08T00:00:00"/>
    <x v="0"/>
    <s v="Monitor"/>
    <s v="David"/>
    <n v="4"/>
    <n v="1643"/>
    <x v="1"/>
    <n v="6572"/>
    <n v="5021.3428636483059"/>
    <n v="1550.6571363516939"/>
  </r>
  <r>
    <d v="2024-11-16T00:00:00"/>
    <x v="2"/>
    <s v="Camera"/>
    <s v="Bob"/>
    <n v="14"/>
    <n v="1789"/>
    <x v="2"/>
    <n v="25046"/>
    <n v="17122.82711296593"/>
    <n v="7923.1728870340703"/>
  </r>
  <r>
    <d v="2024-11-08T00:00:00"/>
    <x v="4"/>
    <s v="Smartwatch"/>
    <s v="Eva"/>
    <n v="14"/>
    <n v="1671"/>
    <x v="0"/>
    <n v="23394"/>
    <n v="20090.119331674119"/>
    <n v="3303.880668325884"/>
  </r>
  <r>
    <d v="2024-09-03T00:00:00"/>
    <x v="0"/>
    <s v="Monitor"/>
    <s v="Bob"/>
    <n v="13"/>
    <n v="1683"/>
    <x v="1"/>
    <n v="21879"/>
    <n v="19599.679935343142"/>
    <n v="2279.3200646568621"/>
  </r>
  <r>
    <d v="2024-11-18T00:00:00"/>
    <x v="0"/>
    <s v="Headphones"/>
    <s v="Alice"/>
    <n v="6"/>
    <n v="1720"/>
    <x v="0"/>
    <n v="10320"/>
    <n v="6979.4648173078876"/>
    <n v="3340.5351826921119"/>
  </r>
  <r>
    <d v="2024-09-11T00:00:00"/>
    <x v="1"/>
    <s v="Smartwatch"/>
    <s v="Bob"/>
    <m/>
    <n v="1151"/>
    <x v="0"/>
    <m/>
    <m/>
    <m/>
  </r>
  <r>
    <d v="2024-11-23T00:00:00"/>
    <x v="1"/>
    <s v="Monitor"/>
    <s v="Grace"/>
    <n v="4"/>
    <n v="1831"/>
    <x v="1"/>
    <n v="7324"/>
    <n v="6042.665430342352"/>
    <n v="1281.334569657648"/>
  </r>
  <r>
    <d v="2024-02-23T00:00:00"/>
    <x v="0"/>
    <s v="Mobile"/>
    <s v="Grace"/>
    <n v="8"/>
    <n v="545"/>
    <x v="2"/>
    <n v="4360"/>
    <n v="3593.3246784062148"/>
    <n v="766.6753215937847"/>
  </r>
  <r>
    <d v="2024-09-05T00:00:00"/>
    <x v="0"/>
    <s v="Printer"/>
    <s v="David"/>
    <n v="17"/>
    <n v="1331"/>
    <x v="1"/>
    <n v="22627"/>
    <n v="20074.011054314731"/>
    <n v="2552.988945685272"/>
  </r>
  <r>
    <d v="2024-08-26T00:00:00"/>
    <x v="0"/>
    <s v="Mobile"/>
    <s v="Charlie"/>
    <n v="3"/>
    <m/>
    <x v="2"/>
    <m/>
    <m/>
    <m/>
  </r>
  <r>
    <d v="2024-08-16T00:00:00"/>
    <x v="0"/>
    <s v="Laptop"/>
    <s v="Bob"/>
    <n v="17"/>
    <n v="815"/>
    <x v="2"/>
    <n v="13855"/>
    <n v="11115.17946057374"/>
    <n v="2739.8205394262641"/>
  </r>
  <r>
    <d v="2024-03-07T00:00:00"/>
    <x v="3"/>
    <s v="Laptop"/>
    <s v="Frank"/>
    <n v="9"/>
    <n v="1075"/>
    <x v="2"/>
    <n v="9675"/>
    <n v="8196.3040479238971"/>
    <n v="1478.6959520761029"/>
  </r>
  <r>
    <d v="2024-02-20T00:00:00"/>
    <x v="0"/>
    <s v="Monitor"/>
    <s v="Grace"/>
    <n v="2"/>
    <n v="918"/>
    <x v="1"/>
    <n v="1836"/>
    <n v="1365.728673929699"/>
    <n v="470.27132607030097"/>
  </r>
  <r>
    <d v="2024-04-06T00:00:00"/>
    <x v="1"/>
    <s v="Mobile"/>
    <s v="Hannah"/>
    <n v="13"/>
    <n v="203"/>
    <x v="2"/>
    <n v="2639"/>
    <n v="1964.5490832662649"/>
    <n v="674.45091673373486"/>
  </r>
  <r>
    <d v="2024-04-01T00:00:00"/>
    <x v="2"/>
    <s v="Camera"/>
    <s v="Charlie"/>
    <n v="2"/>
    <m/>
    <x v="2"/>
    <m/>
    <m/>
    <m/>
  </r>
  <r>
    <d v="2024-09-20T00:00:00"/>
    <x v="3"/>
    <s v="Smartwatch"/>
    <s v="Alice"/>
    <n v="11"/>
    <n v="525"/>
    <x v="0"/>
    <n v="5775"/>
    <n v="4817.7805474730094"/>
    <n v="957.21945252699061"/>
  </r>
  <r>
    <d v="2024-10-17T00:00:00"/>
    <x v="0"/>
    <s v="Laptop"/>
    <s v="Eva"/>
    <n v="15"/>
    <n v="1224"/>
    <x v="2"/>
    <n v="18360"/>
    <n v="14795.56635450805"/>
    <n v="3564.4336454919539"/>
  </r>
  <r>
    <d v="2024-04-05T00:00:00"/>
    <x v="2"/>
    <s v="Laptop"/>
    <s v="Eva"/>
    <n v="11"/>
    <n v="1664"/>
    <x v="2"/>
    <n v="18304"/>
    <n v="13459.699416140171"/>
    <n v="4844.3005838598347"/>
  </r>
  <r>
    <d v="2024-03-28T00:00:00"/>
    <x v="3"/>
    <s v="Mobile"/>
    <s v="Grace"/>
    <n v="3"/>
    <n v="738"/>
    <x v="2"/>
    <n v="2214"/>
    <n v="1606.923407844241"/>
    <n v="607.07659215575904"/>
  </r>
  <r>
    <d v="2024-03-18T00:00:00"/>
    <x v="2"/>
    <s v="Camera"/>
    <s v="Charlie"/>
    <m/>
    <n v="949"/>
    <x v="2"/>
    <m/>
    <m/>
    <m/>
  </r>
  <r>
    <d v="2024-10-14T00:00:00"/>
    <x v="0"/>
    <s v="Mobile"/>
    <s v="Grace"/>
    <n v="12"/>
    <n v="1645"/>
    <x v="2"/>
    <n v="19740"/>
    <n v="11882.499791517879"/>
    <n v="7857.5002084821226"/>
  </r>
  <r>
    <d v="2024-04-29T00:00:00"/>
    <x v="0"/>
    <s v="Smartwatch"/>
    <s v="Eva"/>
    <n v="5"/>
    <n v="1229"/>
    <x v="0"/>
    <n v="6145"/>
    <n v="4662.0160273014544"/>
    <n v="1482.983972698546"/>
  </r>
  <r>
    <d v="2024-10-28T00:00:00"/>
    <x v="1"/>
    <s v="Headphones"/>
    <s v="Hannah"/>
    <n v="7"/>
    <n v="1802"/>
    <x v="0"/>
    <n v="12614"/>
    <n v="9148.2764518689219"/>
    <n v="3465.7235481310781"/>
  </r>
  <r>
    <d v="2024-06-13T00:00:00"/>
    <x v="0"/>
    <s v="Camera"/>
    <s v="Bob"/>
    <n v="7"/>
    <n v="868"/>
    <x v="2"/>
    <n v="6076"/>
    <n v="5096.6158059489362"/>
    <n v="979.38419405106379"/>
  </r>
  <r>
    <d v="2024-06-30T00:00:00"/>
    <x v="0"/>
    <s v="Laptop"/>
    <s v="Charlie"/>
    <n v="13"/>
    <n v="1930"/>
    <x v="2"/>
    <n v="25090"/>
    <n v="19138.55708182371"/>
    <n v="5951.4429181762926"/>
  </r>
  <r>
    <d v="2024-08-10T00:00:00"/>
    <x v="3"/>
    <s v="Smartwatch"/>
    <s v="David"/>
    <n v="9"/>
    <n v="376"/>
    <x v="0"/>
    <n v="3384"/>
    <n v="2981.3439752416348"/>
    <n v="402.65602475836482"/>
  </r>
  <r>
    <d v="2024-11-06T00:00:00"/>
    <x v="1"/>
    <s v="Mobile"/>
    <s v="Bob"/>
    <n v="13"/>
    <n v="1188"/>
    <x v="2"/>
    <n v="15444"/>
    <n v="10175.15954928278"/>
    <n v="5268.8404507172218"/>
  </r>
  <r>
    <d v="2024-01-07T00:00:00"/>
    <x v="3"/>
    <m/>
    <s v="Bob"/>
    <n v="12"/>
    <n v="1906"/>
    <x v="2"/>
    <n v="22872"/>
    <n v="20517.215575585989"/>
    <n v="2354.784424414011"/>
  </r>
  <r>
    <d v="2024-11-25T00:00:00"/>
    <x v="2"/>
    <s v="Headphones"/>
    <m/>
    <n v="13"/>
    <n v="999"/>
    <x v="0"/>
    <n v="12987"/>
    <n v="8952.9229729593972"/>
    <n v="4034.0770270406028"/>
  </r>
  <r>
    <d v="2024-09-19T00:00:00"/>
    <x v="0"/>
    <s v="Laptop"/>
    <s v="David"/>
    <n v="10"/>
    <n v="287"/>
    <x v="2"/>
    <n v="2870"/>
    <n v="2275.127041246616"/>
    <n v="594.8729587533835"/>
  </r>
  <r>
    <d v="2024-06-09T00:00:00"/>
    <x v="2"/>
    <s v="Laptop"/>
    <s v="Hannah"/>
    <n v="1"/>
    <n v="1440"/>
    <x v="2"/>
    <n v="1440"/>
    <n v="1080.800804282394"/>
    <n v="359.19919571760647"/>
  </r>
  <r>
    <d v="2024-05-30T00:00:00"/>
    <x v="3"/>
    <s v="Tablet"/>
    <s v="Alice"/>
    <n v="8"/>
    <n v="1261"/>
    <x v="2"/>
    <n v="10088"/>
    <n v="7141.0220207407283"/>
    <n v="2946.9779792592722"/>
  </r>
  <r>
    <d v="2024-03-25T00:00:00"/>
    <x v="0"/>
    <s v="Laptop"/>
    <s v="Hannah"/>
    <n v="16"/>
    <n v="1466"/>
    <x v="2"/>
    <n v="23456"/>
    <n v="15053.89086080229"/>
    <n v="8402.1091391977061"/>
  </r>
  <r>
    <d v="2024-05-26T00:00:00"/>
    <x v="0"/>
    <s v="Headphones"/>
    <s v="Hannah"/>
    <n v="13"/>
    <n v="204"/>
    <x v="0"/>
    <n v="2652"/>
    <n v="1698.4740508953801"/>
    <n v="953.52594910462039"/>
  </r>
  <r>
    <d v="2024-04-21T00:00:00"/>
    <x v="3"/>
    <s v="Printer"/>
    <s v="Hannah"/>
    <n v="3"/>
    <n v="645"/>
    <x v="1"/>
    <n v="1935"/>
    <n v="1574.029132793042"/>
    <n v="360.97086720695762"/>
  </r>
  <r>
    <d v="2024-02-05T00:00:00"/>
    <x v="3"/>
    <s v="Tablet"/>
    <s v="Frank"/>
    <n v="3"/>
    <n v="479"/>
    <x v="2"/>
    <n v="1437"/>
    <n v="1025.0012002010881"/>
    <n v="411.99879979891222"/>
  </r>
  <r>
    <d v="2024-10-11T00:00:00"/>
    <x v="3"/>
    <s v="Tablet"/>
    <s v="Grace"/>
    <n v="5"/>
    <n v="209"/>
    <x v="2"/>
    <n v="1045"/>
    <n v="928.36691489067766"/>
    <n v="116.63308510932229"/>
  </r>
  <r>
    <d v="2024-07-06T00:00:00"/>
    <x v="3"/>
    <m/>
    <s v="Eva"/>
    <n v="11"/>
    <n v="644"/>
    <x v="2"/>
    <n v="7084"/>
    <n v="4942.4681635232691"/>
    <n v="2141.5318364767309"/>
  </r>
  <r>
    <d v="2024-03-22T00:00:00"/>
    <x v="3"/>
    <s v="Mobile"/>
    <s v="Grace"/>
    <n v="7"/>
    <n v="453"/>
    <x v="2"/>
    <n v="3171"/>
    <n v="2838.2261164988372"/>
    <n v="332.7738835011628"/>
  </r>
  <r>
    <d v="2024-01-02T00:00:00"/>
    <x v="0"/>
    <s v="Laptop"/>
    <s v="Charlie"/>
    <n v="10"/>
    <n v="842"/>
    <x v="2"/>
    <n v="8420"/>
    <n v="5570.8991461596333"/>
    <n v="2849.1008538403671"/>
  </r>
  <r>
    <d v="2024-10-29T00:00:00"/>
    <x v="3"/>
    <s v="Tablet"/>
    <s v="Hannah"/>
    <n v="10"/>
    <n v="416"/>
    <x v="2"/>
    <n v="4160"/>
    <n v="2624.3123540163551"/>
    <n v="1535.6876459836451"/>
  </r>
  <r>
    <d v="2024-07-15T00:00:00"/>
    <x v="0"/>
    <s v="Monitor"/>
    <s v="Alice"/>
    <m/>
    <n v="1389"/>
    <x v="1"/>
    <m/>
    <m/>
    <m/>
  </r>
  <r>
    <d v="2024-01-11T00:00:00"/>
    <x v="0"/>
    <s v="Mobile"/>
    <m/>
    <n v="3"/>
    <n v="1817"/>
    <x v="2"/>
    <n v="5451"/>
    <n v="4718.7968061525717"/>
    <n v="732.20319384742834"/>
  </r>
  <r>
    <d v="2024-08-21T00:00:00"/>
    <x v="3"/>
    <s v="Headphones"/>
    <s v="Grace"/>
    <n v="8"/>
    <n v="1975"/>
    <x v="0"/>
    <n v="15800"/>
    <n v="11953.57821690765"/>
    <n v="3846.4217830923499"/>
  </r>
  <r>
    <d v="2024-07-13T00:00:00"/>
    <x v="3"/>
    <s v="Monitor"/>
    <s v="Eva"/>
    <n v="11"/>
    <n v="1188"/>
    <x v="1"/>
    <n v="13068"/>
    <n v="8372.6026753162296"/>
    <n v="4695.3973246837704"/>
  </r>
  <r>
    <d v="2024-04-28T00:00:00"/>
    <x v="1"/>
    <s v="Mobile"/>
    <s v="David"/>
    <n v="13"/>
    <n v="432"/>
    <x v="2"/>
    <n v="5616"/>
    <n v="3710.7703987729792"/>
    <n v="1905.229601227021"/>
  </r>
  <r>
    <d v="2024-01-20T00:00:00"/>
    <x v="0"/>
    <s v="Camera"/>
    <s v="Grace"/>
    <n v="7"/>
    <n v="1636"/>
    <x v="2"/>
    <n v="11452"/>
    <n v="7940.5671308810388"/>
    <n v="3511.4328691189612"/>
  </r>
  <r>
    <d v="2024-09-17T00:00:00"/>
    <x v="3"/>
    <s v="Camera"/>
    <s v="Bob"/>
    <n v="13"/>
    <n v="1256"/>
    <x v="2"/>
    <n v="16328"/>
    <n v="12687.672748501769"/>
    <n v="3640.3272514982332"/>
  </r>
  <r>
    <d v="2024-10-19T00:00:00"/>
    <x v="3"/>
    <s v="Mobile"/>
    <s v="Grace"/>
    <n v="2"/>
    <n v="691"/>
    <x v="2"/>
    <n v="1382"/>
    <n v="967.00430847326152"/>
    <n v="414.99569152673848"/>
  </r>
  <r>
    <d v="2024-09-12T00:00:00"/>
    <x v="3"/>
    <s v="Tablet"/>
    <s v="Bob"/>
    <n v="6"/>
    <n v="882"/>
    <x v="2"/>
    <n v="5292"/>
    <n v="4361.2230607250158"/>
    <n v="930.77693927498422"/>
  </r>
  <r>
    <d v="2024-08-09T00:00:00"/>
    <x v="1"/>
    <m/>
    <s v="David"/>
    <n v="9"/>
    <n v="1876"/>
    <x v="1"/>
    <n v="16884"/>
    <n v="13252.050120789771"/>
    <n v="3631.9498792102349"/>
  </r>
  <r>
    <d v="2024-08-13T00:00:00"/>
    <x v="1"/>
    <s v="Printer"/>
    <s v="Grace"/>
    <n v="2"/>
    <n v="639"/>
    <x v="1"/>
    <n v="1278"/>
    <n v="1101.8240209012711"/>
    <n v="176.17597909872941"/>
  </r>
  <r>
    <d v="2024-02-22T00:00:00"/>
    <x v="2"/>
    <s v="Tablet"/>
    <s v="Alice"/>
    <n v="18"/>
    <n v="834"/>
    <x v="2"/>
    <n v="15012"/>
    <n v="11263.33168119203"/>
    <n v="3748.668318807966"/>
  </r>
  <r>
    <d v="2024-12-20T00:00:00"/>
    <x v="0"/>
    <s v="Smartwatch"/>
    <m/>
    <n v="16"/>
    <n v="1658"/>
    <x v="0"/>
    <n v="26528"/>
    <n v="18552.434373981941"/>
    <n v="7975.5656260180622"/>
  </r>
  <r>
    <d v="2024-12-07T00:00:00"/>
    <x v="2"/>
    <s v="Printer"/>
    <s v="Charlie"/>
    <n v="12"/>
    <n v="1619"/>
    <x v="1"/>
    <n v="19428"/>
    <n v="17463.4692057842"/>
    <n v="1964.5307942158031"/>
  </r>
  <r>
    <d v="2024-12-29T00:00:00"/>
    <x v="3"/>
    <s v="Camera"/>
    <s v="David"/>
    <n v="7"/>
    <n v="720"/>
    <x v="2"/>
    <n v="5040"/>
    <n v="3561.7175825727222"/>
    <n v="1478.282417427278"/>
  </r>
  <r>
    <d v="2024-10-06T00:00:00"/>
    <x v="1"/>
    <s v="Headphones"/>
    <s v="Hannah"/>
    <n v="7"/>
    <n v="718"/>
    <x v="0"/>
    <n v="5026"/>
    <n v="3661.847060261056"/>
    <n v="1364.152939738944"/>
  </r>
  <r>
    <d v="2024-03-21T00:00:00"/>
    <x v="1"/>
    <s v="Tablet"/>
    <s v="Alice"/>
    <n v="17"/>
    <n v="1780"/>
    <x v="2"/>
    <n v="30260"/>
    <n v="25501.256951800729"/>
    <n v="4758.7430481992742"/>
  </r>
  <r>
    <d v="2024-07-20T00:00:00"/>
    <x v="2"/>
    <s v="Laptop"/>
    <s v="Grace"/>
    <n v="13"/>
    <n v="1492"/>
    <x v="2"/>
    <n v="19396"/>
    <n v="12153.356517777131"/>
    <n v="7242.643482222873"/>
  </r>
  <r>
    <d v="2024-06-06T00:00:00"/>
    <x v="1"/>
    <s v="Camera"/>
    <s v="David"/>
    <n v="11"/>
    <n v="1989"/>
    <x v="2"/>
    <n v="21879"/>
    <n v="15664.20510913627"/>
    <n v="6214.7948908637281"/>
  </r>
  <r>
    <d v="2024-04-29T00:00:00"/>
    <x v="3"/>
    <s v="Headphones"/>
    <s v="Eva"/>
    <n v="6"/>
    <n v="1008"/>
    <x v="0"/>
    <n v="6048"/>
    <n v="3784.312393534422"/>
    <n v="2263.687606465578"/>
  </r>
  <r>
    <d v="2024-02-28T00:00:00"/>
    <x v="1"/>
    <s v="Headphones"/>
    <s v="Bob"/>
    <n v="14"/>
    <n v="1774"/>
    <x v="0"/>
    <n v="24836"/>
    <n v="15939.540151405379"/>
    <n v="8896.4598485946153"/>
  </r>
  <r>
    <d v="2024-08-02T00:00:00"/>
    <x v="2"/>
    <s v="Tablet"/>
    <s v="Grace"/>
    <n v="6"/>
    <n v="1919"/>
    <x v="2"/>
    <n v="11514"/>
    <n v="6924.4303394352146"/>
    <n v="4589.5696605647854"/>
  </r>
  <r>
    <d v="2024-05-07T00:00:00"/>
    <x v="3"/>
    <s v="Headphones"/>
    <s v="Bob"/>
    <n v="6"/>
    <m/>
    <x v="0"/>
    <m/>
    <m/>
    <m/>
  </r>
  <r>
    <d v="2024-08-11T00:00:00"/>
    <x v="2"/>
    <s v="Tablet"/>
    <s v="Bob"/>
    <n v="2"/>
    <n v="1091"/>
    <x v="2"/>
    <n v="2182"/>
    <n v="1558.1364524685671"/>
    <n v="623.86354753143314"/>
  </r>
  <r>
    <d v="2024-07-27T00:00:00"/>
    <x v="1"/>
    <s v="Printer"/>
    <s v="Hannah"/>
    <n v="15"/>
    <n v="198"/>
    <x v="1"/>
    <n v="2970"/>
    <n v="2502.964950208469"/>
    <n v="467.03504979153149"/>
  </r>
  <r>
    <d v="2024-04-24T00:00:00"/>
    <x v="2"/>
    <s v="Mobile"/>
    <s v="David"/>
    <n v="17"/>
    <n v="416"/>
    <x v="2"/>
    <n v="7072"/>
    <n v="5488.5884514313357"/>
    <n v="1583.4115485686641"/>
  </r>
  <r>
    <d v="2024-07-27T00:00:00"/>
    <x v="2"/>
    <s v="Camera"/>
    <s v="David"/>
    <n v="8"/>
    <n v="222"/>
    <x v="2"/>
    <n v="1776"/>
    <n v="1403.8822027165361"/>
    <n v="372.11779728346369"/>
  </r>
  <r>
    <d v="2024-01-14T00:00:00"/>
    <x v="0"/>
    <s v="Smartwatch"/>
    <s v="Charlie"/>
    <n v="5"/>
    <n v="1443"/>
    <x v="0"/>
    <n v="7215"/>
    <n v="5452.9149747524862"/>
    <n v="1762.0850252475141"/>
  </r>
  <r>
    <d v="2024-01-09T00:00:00"/>
    <x v="1"/>
    <s v="Mobile"/>
    <s v="Bob"/>
    <n v="17"/>
    <n v="898"/>
    <x v="2"/>
    <n v="15266"/>
    <n v="12914.08864167233"/>
    <n v="2351.911358327674"/>
  </r>
  <r>
    <d v="2024-02-09T00:00:00"/>
    <x v="1"/>
    <s v="Camera"/>
    <s v="Charlie"/>
    <n v="1"/>
    <n v="1716"/>
    <x v="2"/>
    <n v="1716"/>
    <n v="1482.8189677258431"/>
    <n v="233.18103227415739"/>
  </r>
  <r>
    <d v="2024-08-24T00:00:00"/>
    <x v="2"/>
    <s v="Tablet"/>
    <s v="Hannah"/>
    <n v="18"/>
    <n v="1618"/>
    <x v="2"/>
    <n v="29124"/>
    <n v="24898.754689951769"/>
    <n v="4225.2453100482271"/>
  </r>
  <r>
    <d v="2024-10-07T00:00:00"/>
    <x v="0"/>
    <s v="Camera"/>
    <s v="Bob"/>
    <n v="15"/>
    <n v="556"/>
    <x v="2"/>
    <n v="8340"/>
    <n v="7035.9545287192041"/>
    <n v="1304.0454712807959"/>
  </r>
  <r>
    <d v="2024-12-24T00:00:00"/>
    <x v="1"/>
    <s v="Printer"/>
    <s v="Charlie"/>
    <n v="5"/>
    <n v="621"/>
    <x v="1"/>
    <n v="3105"/>
    <n v="2033.1972280241989"/>
    <n v="1071.8027719758011"/>
  </r>
  <r>
    <d v="2024-07-19T00:00:00"/>
    <x v="3"/>
    <s v="Tablet"/>
    <s v="Charlie"/>
    <n v="7"/>
    <n v="619"/>
    <x v="2"/>
    <n v="4333"/>
    <n v="3371.7797053522509"/>
    <n v="961.22029464774914"/>
  </r>
  <r>
    <d v="2024-09-02T00:00:00"/>
    <x v="2"/>
    <s v="Mobile"/>
    <s v="Eva"/>
    <n v="18"/>
    <n v="1016"/>
    <x v="2"/>
    <n v="18288"/>
    <n v="14166.7801590741"/>
    <n v="4121.2198409258999"/>
  </r>
  <r>
    <d v="2024-10-04T00:00:00"/>
    <x v="1"/>
    <s v="Laptop"/>
    <s v="Charlie"/>
    <n v="6"/>
    <n v="816"/>
    <x v="2"/>
    <n v="4896"/>
    <n v="3713.044152704535"/>
    <n v="1182.955847295465"/>
  </r>
  <r>
    <d v="2024-08-22T00:00:00"/>
    <x v="3"/>
    <s v="Laptop"/>
    <s v="David"/>
    <n v="5"/>
    <n v="414"/>
    <x v="2"/>
    <n v="2070"/>
    <n v="1540.5847421532919"/>
    <n v="529.4152578467083"/>
  </r>
  <r>
    <d v="2024-01-04T00:00:00"/>
    <x v="1"/>
    <s v="Monitor"/>
    <s v="Charlie"/>
    <n v="19"/>
    <n v="808"/>
    <x v="1"/>
    <n v="15352"/>
    <n v="9621.8835497296077"/>
    <n v="5730.1164502703923"/>
  </r>
  <r>
    <d v="2024-06-02T00:00:00"/>
    <x v="3"/>
    <s v="Monitor"/>
    <s v="Bob"/>
    <n v="10"/>
    <n v="809"/>
    <x v="1"/>
    <n v="8090"/>
    <n v="5101.9501686903996"/>
    <n v="2988.0498313096"/>
  </r>
  <r>
    <d v="2024-01-29T00:00:00"/>
    <x v="2"/>
    <s v="Camera"/>
    <s v="Charlie"/>
    <n v="15"/>
    <n v="1665"/>
    <x v="2"/>
    <n v="24975"/>
    <n v="21745.344666526369"/>
    <n v="3229.6553334736268"/>
  </r>
  <r>
    <d v="2024-04-18T00:00:00"/>
    <x v="1"/>
    <s v="Laptop"/>
    <s v="Alice"/>
    <n v="10"/>
    <n v="1602"/>
    <x v="2"/>
    <n v="16020"/>
    <n v="12640.67602641648"/>
    <n v="3379.32397358352"/>
  </r>
  <r>
    <d v="2024-04-07T00:00:00"/>
    <x v="1"/>
    <s v="Tablet"/>
    <s v="Frank"/>
    <n v="16"/>
    <n v="1143"/>
    <x v="2"/>
    <n v="18288"/>
    <n v="12411.97716562186"/>
    <n v="5876.0228343781382"/>
  </r>
  <r>
    <d v="2024-08-02T00:00:00"/>
    <x v="0"/>
    <s v="Headphones"/>
    <s v="Bob"/>
    <n v="12"/>
    <n v="659"/>
    <x v="0"/>
    <n v="7908"/>
    <n v="5407.412243370004"/>
    <n v="2500.587756629996"/>
  </r>
  <r>
    <d v="2024-10-19T00:00:00"/>
    <x v="2"/>
    <s v="Tablet"/>
    <s v="Alice"/>
    <n v="18"/>
    <n v="1068"/>
    <x v="2"/>
    <n v="19224"/>
    <n v="15053.51563308398"/>
    <n v="4170.48436691602"/>
  </r>
  <r>
    <d v="2024-03-15T00:00:00"/>
    <x v="3"/>
    <s v="Headphones"/>
    <s v="Hannah"/>
    <n v="1"/>
    <n v="1253"/>
    <x v="0"/>
    <n v="1253"/>
    <n v="904.76685696554534"/>
    <n v="348.23314303445471"/>
  </r>
  <r>
    <d v="2024-11-21T00:00:00"/>
    <x v="1"/>
    <s v="Mobile"/>
    <s v="Bob"/>
    <n v="16"/>
    <n v="1416"/>
    <x v="2"/>
    <n v="22656"/>
    <n v="16593.192125351488"/>
    <n v="6062.807874648508"/>
  </r>
  <r>
    <d v="2024-05-25T00:00:00"/>
    <x v="1"/>
    <s v="Smartwatch"/>
    <s v="David"/>
    <n v="6"/>
    <n v="1255"/>
    <x v="0"/>
    <n v="7530"/>
    <n v="4655.0083286149938"/>
    <n v="2874.9916713850062"/>
  </r>
  <r>
    <d v="2024-05-07T00:00:00"/>
    <x v="3"/>
    <s v="Headphones"/>
    <s v="Frank"/>
    <n v="3"/>
    <n v="455"/>
    <x v="0"/>
    <n v="1365"/>
    <n v="875.81369712144044"/>
    <n v="489.18630287855962"/>
  </r>
  <r>
    <d v="2024-12-06T00:00:00"/>
    <x v="2"/>
    <s v="Laptop"/>
    <s v="Frank"/>
    <n v="2"/>
    <n v="1177"/>
    <x v="2"/>
    <n v="2354"/>
    <n v="1690.1840712392579"/>
    <n v="663.8159287607416"/>
  </r>
  <r>
    <d v="2024-02-11T00:00:00"/>
    <x v="0"/>
    <s v="Tablet"/>
    <s v="David"/>
    <n v="2"/>
    <n v="989"/>
    <x v="2"/>
    <n v="1978"/>
    <n v="1601.9939215892921"/>
    <n v="376.00607841070843"/>
  </r>
  <r>
    <d v="2024-12-21T00:00:00"/>
    <x v="0"/>
    <s v="Mobile"/>
    <s v="Frank"/>
    <n v="13"/>
    <n v="892"/>
    <x v="2"/>
    <n v="11596"/>
    <n v="7124.6707183825783"/>
    <n v="4471.3292816174217"/>
  </r>
  <r>
    <d v="2024-02-10T00:00:00"/>
    <x v="1"/>
    <s v="Laptop"/>
    <s v="David"/>
    <n v="9"/>
    <n v="1510"/>
    <x v="2"/>
    <n v="13590"/>
    <n v="9517.9921213723264"/>
    <n v="4072.007878627674"/>
  </r>
  <r>
    <d v="2024-02-03T00:00:00"/>
    <x v="3"/>
    <s v="Mobile"/>
    <s v="Alice"/>
    <n v="16"/>
    <n v="364"/>
    <x v="2"/>
    <n v="5824"/>
    <n v="4708.829714419986"/>
    <n v="1115.170285580014"/>
  </r>
  <r>
    <d v="2024-01-17T00:00:00"/>
    <x v="1"/>
    <s v="Smartwatch"/>
    <s v="Hannah"/>
    <n v="5"/>
    <n v="1081"/>
    <x v="0"/>
    <n v="5405"/>
    <n v="4527.3103567151466"/>
    <n v="877.68964328485254"/>
  </r>
  <r>
    <d v="2024-06-13T00:00:00"/>
    <x v="3"/>
    <s v="Printer"/>
    <s v="Eva"/>
    <n v="7"/>
    <n v="1338"/>
    <x v="1"/>
    <n v="9366"/>
    <n v="6154.0821343670113"/>
    <n v="3211.9178656329891"/>
  </r>
  <r>
    <d v="2024-06-01T00:00:00"/>
    <x v="0"/>
    <s v="Tablet"/>
    <s v="Bob"/>
    <n v="13"/>
    <n v="1583"/>
    <x v="2"/>
    <n v="20579"/>
    <n v="16863.38210617064"/>
    <n v="3715.6178938293629"/>
  </r>
  <r>
    <d v="2024-03-16T00:00:00"/>
    <x v="2"/>
    <s v="Camera"/>
    <s v="David"/>
    <n v="13"/>
    <n v="1581"/>
    <x v="2"/>
    <n v="20553"/>
    <n v="18222.77296452189"/>
    <n v="2330.227035478114"/>
  </r>
  <r>
    <d v="2024-03-27T00:00:00"/>
    <x v="3"/>
    <s v="Tablet"/>
    <s v="Bob"/>
    <n v="7"/>
    <n v="901"/>
    <x v="2"/>
    <n v="6307"/>
    <n v="5499.9792691974899"/>
    <n v="807.02073080251012"/>
  </r>
  <r>
    <d v="2024-04-26T00:00:00"/>
    <x v="0"/>
    <s v="Monitor"/>
    <s v="Hannah"/>
    <n v="10"/>
    <n v="142"/>
    <x v="1"/>
    <n v="1420"/>
    <n v="1188.2742089628191"/>
    <n v="231.7257910371811"/>
  </r>
  <r>
    <d v="2024-12-27T00:00:00"/>
    <x v="1"/>
    <s v="Smartwatch"/>
    <s v="Alice"/>
    <n v="15"/>
    <n v="1709"/>
    <x v="0"/>
    <n v="25635"/>
    <n v="20859.148379000912"/>
    <n v="4775.8516209990876"/>
  </r>
  <r>
    <d v="2024-12-07T00:00:00"/>
    <x v="3"/>
    <s v="Tablet"/>
    <s v="Eva"/>
    <n v="6"/>
    <n v="961"/>
    <x v="2"/>
    <n v="5766"/>
    <n v="3866.3422452125992"/>
    <n v="1899.657754787401"/>
  </r>
  <r>
    <d v="2024-01-27T00:00:00"/>
    <x v="2"/>
    <s v="Monitor"/>
    <s v="Hannah"/>
    <n v="5"/>
    <n v="1401"/>
    <x v="1"/>
    <n v="7005"/>
    <n v="5535.1476316416074"/>
    <n v="1469.8523683583931"/>
  </r>
  <r>
    <d v="2024-11-08T00:00:00"/>
    <x v="1"/>
    <s v="Camera"/>
    <s v="Alice"/>
    <n v="2"/>
    <n v="1961"/>
    <x v="2"/>
    <n v="3922"/>
    <n v="3110.0761811171942"/>
    <n v="811.92381888280579"/>
  </r>
  <r>
    <d v="2024-10-13T00:00:00"/>
    <x v="1"/>
    <s v="Headphones"/>
    <s v="Frank"/>
    <n v="15"/>
    <n v="1877"/>
    <x v="0"/>
    <n v="28155"/>
    <n v="20329.216381520891"/>
    <n v="7825.7836184791122"/>
  </r>
  <r>
    <d v="2024-05-13T00:00:00"/>
    <x v="0"/>
    <s v="Mobile"/>
    <s v="Bob"/>
    <n v="16"/>
    <n v="1253"/>
    <x v="2"/>
    <n v="20048"/>
    <n v="14993.992192854121"/>
    <n v="5054.0078071458829"/>
  </r>
  <r>
    <d v="2024-08-06T00:00:00"/>
    <x v="3"/>
    <s v="Camera"/>
    <s v="Grace"/>
    <n v="19"/>
    <n v="449"/>
    <x v="2"/>
    <n v="8531"/>
    <n v="6894.8271097855268"/>
    <n v="1636.172890214473"/>
  </r>
  <r>
    <d v="2024-06-16T00:00:00"/>
    <x v="1"/>
    <s v="Laptop"/>
    <s v="Eva"/>
    <n v="9"/>
    <n v="1829"/>
    <x v="2"/>
    <n v="16461"/>
    <n v="14578.36301379878"/>
    <n v="1882.636986201222"/>
  </r>
  <r>
    <d v="2024-04-07T00:00:00"/>
    <x v="2"/>
    <s v="Smartwatch"/>
    <s v="Frank"/>
    <n v="19"/>
    <n v="1667"/>
    <x v="0"/>
    <n v="31673"/>
    <n v="21809.770061985841"/>
    <n v="9863.2299380141594"/>
  </r>
  <r>
    <d v="2024-09-24T00:00:00"/>
    <x v="3"/>
    <s v="Headphones"/>
    <s v="Hannah"/>
    <n v="7"/>
    <n v="1229"/>
    <x v="0"/>
    <n v="8603"/>
    <n v="5797.6386588869555"/>
    <n v="2805.361341113045"/>
  </r>
  <r>
    <d v="2024-08-24T00:00:00"/>
    <x v="2"/>
    <s v="Laptop"/>
    <s v="Eva"/>
    <n v="4"/>
    <n v="1011"/>
    <x v="2"/>
    <n v="4044"/>
    <n v="3156.512121736991"/>
    <n v="887.48787826300895"/>
  </r>
  <r>
    <d v="2024-11-04T00:00:00"/>
    <x v="1"/>
    <s v="Laptop"/>
    <s v="Frank"/>
    <n v="3"/>
    <n v="1839"/>
    <x v="2"/>
    <n v="5517"/>
    <n v="3526.685609346594"/>
    <n v="1990.314390653406"/>
  </r>
  <r>
    <d v="2024-06-21T00:00:00"/>
    <x v="2"/>
    <s v="Smartwatch"/>
    <s v="Alice"/>
    <n v="11"/>
    <n v="100"/>
    <x v="0"/>
    <n v="1100"/>
    <n v="852.23583406097862"/>
    <n v="247.76416593902141"/>
  </r>
  <r>
    <d v="2024-07-08T00:00:00"/>
    <x v="0"/>
    <s v="Headphones"/>
    <s v="David"/>
    <n v="1"/>
    <n v="1880"/>
    <x v="0"/>
    <n v="1880"/>
    <n v="1178.112237580287"/>
    <n v="701.887762419713"/>
  </r>
  <r>
    <d v="2024-05-01T00:00:00"/>
    <x v="2"/>
    <s v="Printer"/>
    <s v="Bob"/>
    <n v="6"/>
    <n v="683"/>
    <x v="1"/>
    <n v="4098"/>
    <n v="3061.9238215857831"/>
    <n v="1036.0761784142171"/>
  </r>
  <r>
    <d v="2024-02-15T00:00:00"/>
    <x v="3"/>
    <s v="Laptop"/>
    <s v="Charlie"/>
    <n v="11"/>
    <n v="531"/>
    <x v="2"/>
    <n v="5841"/>
    <n v="4591.752108810525"/>
    <n v="1249.247891189475"/>
  </r>
  <r>
    <d v="2024-03-04T00:00:00"/>
    <x v="2"/>
    <s v="Laptop"/>
    <s v="Charlie"/>
    <n v="1"/>
    <n v="1429"/>
    <x v="2"/>
    <n v="1429"/>
    <n v="887.45600235626728"/>
    <n v="541.54399764373272"/>
  </r>
  <r>
    <d v="2024-05-09T00:00:00"/>
    <x v="2"/>
    <s v="Headphones"/>
    <s v="Alice"/>
    <n v="7"/>
    <n v="1650"/>
    <x v="0"/>
    <n v="11550"/>
    <n v="7647.0926715019996"/>
    <n v="3902.907328498"/>
  </r>
  <r>
    <d v="2024-11-05T00:00:00"/>
    <x v="0"/>
    <s v="Tablet"/>
    <s v="Hannah"/>
    <n v="6"/>
    <n v="152"/>
    <x v="2"/>
    <n v="912"/>
    <n v="638.95840434303796"/>
    <n v="273.04159565696199"/>
  </r>
  <r>
    <d v="2024-12-28T00:00:00"/>
    <x v="2"/>
    <s v="Laptop"/>
    <s v="Bob"/>
    <n v="14"/>
    <n v="1039"/>
    <x v="2"/>
    <n v="14546"/>
    <n v="10336.090986053359"/>
    <n v="4209.9090139466389"/>
  </r>
  <r>
    <d v="2024-07-11T00:00:00"/>
    <x v="2"/>
    <s v="Mobile"/>
    <s v="Hannah"/>
    <n v="2"/>
    <n v="619"/>
    <x v="2"/>
    <n v="1238"/>
    <n v="993.90526450459436"/>
    <n v="244.09473549540559"/>
  </r>
  <r>
    <d v="2024-11-02T00:00:00"/>
    <x v="1"/>
    <s v="Headphones"/>
    <s v="Bob"/>
    <n v="4"/>
    <n v="1453"/>
    <x v="0"/>
    <n v="5812"/>
    <n v="4409.6016093995859"/>
    <n v="1402.3983906004139"/>
  </r>
  <r>
    <d v="2024-06-29T00:00:00"/>
    <x v="1"/>
    <m/>
    <s v="Alice"/>
    <n v="11"/>
    <n v="1681"/>
    <x v="2"/>
    <n v="18491"/>
    <n v="13214.270317324739"/>
    <n v="5276.729682675259"/>
  </r>
  <r>
    <d v="2024-10-18T00:00:00"/>
    <x v="3"/>
    <s v="Smartwatch"/>
    <s v="Bob"/>
    <n v="15"/>
    <n v="1448"/>
    <x v="0"/>
    <n v="21720"/>
    <n v="15968.60647329019"/>
    <n v="5751.3935267098077"/>
  </r>
  <r>
    <d v="2024-10-08T00:00:00"/>
    <x v="1"/>
    <s v="Camera"/>
    <s v="David"/>
    <n v="18"/>
    <n v="1237"/>
    <x v="2"/>
    <n v="22266"/>
    <n v="13446.28156460947"/>
    <n v="8819.7184353905322"/>
  </r>
  <r>
    <d v="2024-01-29T00:00:00"/>
    <x v="1"/>
    <s v="Mobile"/>
    <s v="Hannah"/>
    <n v="1"/>
    <n v="246"/>
    <x v="2"/>
    <n v="246"/>
    <n v="204.46476561290311"/>
    <n v="41.535234387096921"/>
  </r>
  <r>
    <d v="2024-05-28T00:00:00"/>
    <x v="1"/>
    <s v="Monitor"/>
    <s v="Alice"/>
    <n v="3"/>
    <n v="1289"/>
    <x v="1"/>
    <n v="3867"/>
    <n v="2367.769539354817"/>
    <n v="1499.230460645183"/>
  </r>
  <r>
    <d v="2024-09-23T00:00:00"/>
    <x v="1"/>
    <s v="Monitor"/>
    <s v="David"/>
    <n v="3"/>
    <n v="1502"/>
    <x v="1"/>
    <n v="4506"/>
    <n v="3824.671386932725"/>
    <n v="681.32861306727546"/>
  </r>
  <r>
    <d v="2024-10-22T00:00:00"/>
    <x v="0"/>
    <s v="Camera"/>
    <s v="Bob"/>
    <n v="0"/>
    <n v="1262"/>
    <x v="2"/>
    <n v="0"/>
    <n v="0"/>
    <n v="0"/>
  </r>
  <r>
    <d v="2024-01-11T00:00:00"/>
    <x v="1"/>
    <m/>
    <s v="Alice"/>
    <n v="1"/>
    <n v="728"/>
    <x v="1"/>
    <n v="728"/>
    <n v="552.07571136343449"/>
    <n v="175.92428863656551"/>
  </r>
  <r>
    <d v="2024-06-12T00:00:00"/>
    <x v="0"/>
    <s v="Camera"/>
    <s v="Bob"/>
    <n v="11"/>
    <n v="398"/>
    <x v="2"/>
    <n v="4378"/>
    <n v="3552.1935697173199"/>
    <n v="825.80643028267968"/>
  </r>
  <r>
    <d v="2024-04-22T00:00:00"/>
    <x v="0"/>
    <s v="Laptop"/>
    <s v="Hannah"/>
    <n v="6"/>
    <n v="1399"/>
    <x v="2"/>
    <n v="8394"/>
    <n v="7200.9428151279562"/>
    <n v="1193.057184872044"/>
  </r>
  <r>
    <d v="2024-07-05T00:00:00"/>
    <x v="1"/>
    <s v="Mobile"/>
    <s v="Alice"/>
    <n v="3"/>
    <n v="888"/>
    <x v="2"/>
    <n v="2664"/>
    <n v="2351.7628002665479"/>
    <n v="312.23719973345209"/>
  </r>
  <r>
    <d v="2024-10-21T00:00:00"/>
    <x v="2"/>
    <s v="Mobile"/>
    <s v="Bob"/>
    <n v="19"/>
    <n v="949"/>
    <x v="2"/>
    <n v="18031"/>
    <n v="13757.850731068889"/>
    <n v="4273.1492689311126"/>
  </r>
  <r>
    <d v="2024-08-19T00:00:00"/>
    <x v="0"/>
    <s v="Tablet"/>
    <s v="Hannah"/>
    <n v="2"/>
    <n v="1948"/>
    <x v="2"/>
    <n v="3896"/>
    <n v="2513.689341548647"/>
    <n v="1382.310658451353"/>
  </r>
  <r>
    <d v="2024-08-14T00:00:00"/>
    <x v="2"/>
    <s v="Camera"/>
    <s v="David"/>
    <n v="18"/>
    <n v="277"/>
    <x v="2"/>
    <n v="4986"/>
    <n v="4305.8561393695854"/>
    <n v="680.14386063041547"/>
  </r>
  <r>
    <d v="2024-11-05T00:00:00"/>
    <x v="2"/>
    <s v="Mobile"/>
    <s v="Grace"/>
    <n v="12"/>
    <n v="941"/>
    <x v="2"/>
    <n v="11292"/>
    <n v="6912.9805294306007"/>
    <n v="4379.0194705693993"/>
  </r>
  <r>
    <d v="2024-04-07T00:00:00"/>
    <x v="1"/>
    <s v="Tablet"/>
    <s v="David"/>
    <n v="10"/>
    <n v="1477"/>
    <x v="2"/>
    <n v="14770"/>
    <n v="12439.31100345947"/>
    <n v="2330.6889965405298"/>
  </r>
  <r>
    <d v="2024-02-24T00:00:00"/>
    <x v="3"/>
    <s v="Headphones"/>
    <s v="Bob"/>
    <n v="5"/>
    <n v="1277"/>
    <x v="0"/>
    <n v="6385"/>
    <n v="5134.3476254183288"/>
    <n v="1250.652374581671"/>
  </r>
  <r>
    <d v="2024-04-20T00:00:00"/>
    <x v="1"/>
    <s v="Tablet"/>
    <s v="Alice"/>
    <n v="9"/>
    <n v="1324"/>
    <x v="2"/>
    <n v="11916"/>
    <n v="10383.82025101555"/>
    <n v="1532.1797489844521"/>
  </r>
  <r>
    <d v="2024-05-31T00:00:00"/>
    <x v="3"/>
    <s v="Smartwatch"/>
    <s v="Charlie"/>
    <n v="2"/>
    <n v="977"/>
    <x v="0"/>
    <n v="1954"/>
    <n v="1698.4928986750531"/>
    <n v="255.50710132494669"/>
  </r>
  <r>
    <d v="2024-09-02T00:00:00"/>
    <x v="3"/>
    <s v="Printer"/>
    <s v="David"/>
    <n v="2"/>
    <n v="1238"/>
    <x v="1"/>
    <n v="2476"/>
    <n v="1525.0828546626631"/>
    <n v="950.91714533733716"/>
  </r>
  <r>
    <d v="2024-03-09T00:00:00"/>
    <x v="1"/>
    <s v="Laptop"/>
    <s v="David"/>
    <n v="6"/>
    <n v="1794"/>
    <x v="2"/>
    <n v="10764"/>
    <n v="8426.42433805168"/>
    <n v="2337.57566194832"/>
  </r>
  <r>
    <d v="2024-11-07T00:00:00"/>
    <x v="1"/>
    <s v="Headphones"/>
    <s v="Hannah"/>
    <n v="10"/>
    <n v="1677"/>
    <x v="0"/>
    <n v="16770"/>
    <n v="10689.22209095122"/>
    <n v="6080.7779090487766"/>
  </r>
  <r>
    <d v="2024-10-15T00:00:00"/>
    <x v="3"/>
    <s v="Printer"/>
    <s v="Frank"/>
    <n v="18"/>
    <n v="858"/>
    <x v="1"/>
    <n v="15444"/>
    <n v="9629.9607719325541"/>
    <n v="5814.0392280674459"/>
  </r>
  <r>
    <d v="2024-09-06T00:00:00"/>
    <x v="1"/>
    <s v="Printer"/>
    <s v="Charlie"/>
    <m/>
    <n v="1191"/>
    <x v="1"/>
    <m/>
    <m/>
    <m/>
  </r>
  <r>
    <d v="2024-02-05T00:00:00"/>
    <x v="3"/>
    <s v="Headphones"/>
    <s v="Bob"/>
    <n v="4"/>
    <m/>
    <x v="0"/>
    <m/>
    <m/>
    <m/>
  </r>
  <r>
    <d v="2024-08-26T00:00:00"/>
    <x v="2"/>
    <s v="Smartwatch"/>
    <s v="Grace"/>
    <n v="17"/>
    <n v="544"/>
    <x v="0"/>
    <n v="9248"/>
    <n v="7568.2923717075782"/>
    <n v="1679.707628292422"/>
  </r>
  <r>
    <d v="2024-05-27T00:00:00"/>
    <x v="1"/>
    <s v="Tablet"/>
    <s v="Alice"/>
    <n v="15"/>
    <n v="1449"/>
    <x v="2"/>
    <n v="21735"/>
    <n v="19358.977902864801"/>
    <n v="2376.022097135196"/>
  </r>
  <r>
    <d v="2024-08-14T00:00:00"/>
    <x v="2"/>
    <s v="Laptop"/>
    <s v="Frank"/>
    <n v="6"/>
    <n v="1969"/>
    <x v="2"/>
    <n v="11814"/>
    <n v="9107.1159189748378"/>
    <n v="2706.8840810251618"/>
  </r>
  <r>
    <d v="2024-08-31T00:00:00"/>
    <x v="0"/>
    <s v="Tablet"/>
    <s v="Bob"/>
    <n v="16"/>
    <n v="807"/>
    <x v="2"/>
    <n v="12912"/>
    <n v="8658.1501331341497"/>
    <n v="4253.8498668658503"/>
  </r>
  <r>
    <d v="2024-12-02T00:00:00"/>
    <x v="2"/>
    <s v="Mobile"/>
    <s v="Eva"/>
    <n v="17"/>
    <n v="701"/>
    <x v="2"/>
    <n v="11917"/>
    <n v="10164.74717034244"/>
    <n v="1752.2528296575581"/>
  </r>
  <r>
    <d v="2024-12-30T00:00:00"/>
    <x v="2"/>
    <s v="Tablet"/>
    <s v="Grace"/>
    <n v="3"/>
    <n v="1746"/>
    <x v="2"/>
    <n v="5238"/>
    <n v="4483.3666433650433"/>
    <n v="754.63335663495673"/>
  </r>
  <r>
    <d v="2024-07-19T00:00:00"/>
    <x v="3"/>
    <s v="Monitor"/>
    <s v="David"/>
    <n v="10"/>
    <n v="1482"/>
    <x v="1"/>
    <n v="14820"/>
    <n v="12149.9664331321"/>
    <n v="2670.033566867904"/>
  </r>
  <r>
    <d v="2024-06-02T00:00:00"/>
    <x v="2"/>
    <s v="Headphones"/>
    <s v="Eva"/>
    <n v="5"/>
    <n v="244"/>
    <x v="0"/>
    <n v="1220"/>
    <n v="957.13837964168647"/>
    <n v="262.86162035831347"/>
  </r>
  <r>
    <d v="2024-03-13T00:00:00"/>
    <x v="1"/>
    <s v="Laptop"/>
    <s v="David"/>
    <n v="14"/>
    <n v="374"/>
    <x v="2"/>
    <n v="5236"/>
    <n v="4504.7283879240076"/>
    <n v="731.27161207599238"/>
  </r>
  <r>
    <d v="2024-07-19T00:00:00"/>
    <x v="3"/>
    <s v="Tablet"/>
    <s v="David"/>
    <n v="13"/>
    <n v="608"/>
    <x v="2"/>
    <n v="7904"/>
    <n v="5129.5972363526116"/>
    <n v="2774.4027636473879"/>
  </r>
  <r>
    <d v="2024-10-22T00:00:00"/>
    <x v="0"/>
    <s v="Laptop"/>
    <s v="Eva"/>
    <n v="6"/>
    <n v="1302"/>
    <x v="2"/>
    <n v="7812"/>
    <n v="6870.4980560999038"/>
    <n v="941.50194390009619"/>
  </r>
  <r>
    <d v="2024-01-17T00:00:00"/>
    <x v="1"/>
    <s v="Laptop"/>
    <s v="Grace"/>
    <n v="12"/>
    <n v="852"/>
    <x v="2"/>
    <n v="10224"/>
    <n v="9039.6614992586547"/>
    <n v="1184.3385007413449"/>
  </r>
  <r>
    <d v="2024-05-08T00:00:00"/>
    <x v="0"/>
    <s v="Mobile"/>
    <s v="Hannah"/>
    <n v="8"/>
    <n v="1961"/>
    <x v="2"/>
    <n v="15688"/>
    <n v="13516.74490898011"/>
    <n v="2171.255091019892"/>
  </r>
  <r>
    <d v="2024-08-04T00:00:00"/>
    <x v="2"/>
    <s v="Mobile"/>
    <s v="Eva"/>
    <n v="5"/>
    <n v="1954"/>
    <x v="2"/>
    <n v="9770"/>
    <n v="6596.6904237393101"/>
    <n v="3173.3095762606899"/>
  </r>
  <r>
    <d v="2024-03-01T00:00:00"/>
    <x v="1"/>
    <s v="Headphones"/>
    <s v="Bob"/>
    <n v="15"/>
    <n v="576"/>
    <x v="0"/>
    <n v="8640"/>
    <n v="7408.3983773171503"/>
    <n v="1231.6016226828499"/>
  </r>
  <r>
    <d v="2024-04-13T00:00:00"/>
    <x v="1"/>
    <s v="Smartwatch"/>
    <s v="Frank"/>
    <n v="16"/>
    <n v="1966"/>
    <x v="0"/>
    <n v="31456"/>
    <n v="23569.712277469931"/>
    <n v="7886.2877225300726"/>
  </r>
  <r>
    <d v="2024-02-11T00:00:00"/>
    <x v="0"/>
    <s v="Monitor"/>
    <s v="Frank"/>
    <n v="1"/>
    <n v="1537"/>
    <x v="1"/>
    <n v="1537"/>
    <n v="1196.522332465521"/>
    <n v="340.47766753447951"/>
  </r>
  <r>
    <d v="2024-01-25T00:00:00"/>
    <x v="1"/>
    <m/>
    <s v="Eva"/>
    <n v="16"/>
    <n v="1276"/>
    <x v="1"/>
    <n v="20416"/>
    <n v="17398.110692713391"/>
    <n v="3017.8893072866122"/>
  </r>
  <r>
    <d v="2024-02-08T00:00:00"/>
    <x v="1"/>
    <s v="Laptop"/>
    <s v="Bob"/>
    <n v="5"/>
    <n v="1227"/>
    <x v="2"/>
    <n v="6135"/>
    <n v="3735.4472253855101"/>
    <n v="2399.5527746144899"/>
  </r>
  <r>
    <d v="2024-10-17T00:00:00"/>
    <x v="1"/>
    <s v="Smartwatch"/>
    <m/>
    <n v="3"/>
    <n v="1198"/>
    <x v="0"/>
    <n v="3594"/>
    <n v="2547.724702883781"/>
    <n v="1046.275297116219"/>
  </r>
  <r>
    <d v="2024-05-10T00:00:00"/>
    <x v="2"/>
    <s v="Printer"/>
    <s v="Frank"/>
    <n v="15"/>
    <n v="1251"/>
    <x v="1"/>
    <n v="18765"/>
    <n v="15850.945867197721"/>
    <n v="2914.0541328022791"/>
  </r>
  <r>
    <d v="2024-08-16T00:00:00"/>
    <x v="0"/>
    <s v="Printer"/>
    <s v="Bob"/>
    <n v="13"/>
    <n v="1834"/>
    <x v="1"/>
    <n v="23842"/>
    <n v="20127.09298662021"/>
    <n v="3714.9070133797941"/>
  </r>
  <r>
    <d v="2024-04-17T00:00:00"/>
    <x v="1"/>
    <m/>
    <s v="Hannah"/>
    <m/>
    <n v="765"/>
    <x v="1"/>
    <m/>
    <m/>
    <m/>
  </r>
  <r>
    <d v="2024-06-20T00:00:00"/>
    <x v="4"/>
    <s v="Headphones"/>
    <s v="Bob"/>
    <n v="11"/>
    <n v="667"/>
    <x v="0"/>
    <n v="7337"/>
    <n v="4774.6611177970344"/>
    <n v="2562.338882202966"/>
  </r>
  <r>
    <d v="2024-04-11T00:00:00"/>
    <x v="3"/>
    <s v="Printer"/>
    <s v="David"/>
    <n v="2"/>
    <n v="1913"/>
    <x v="1"/>
    <n v="3826"/>
    <n v="3105.816660402053"/>
    <n v="720.18333959794745"/>
  </r>
  <r>
    <d v="2024-12-19T00:00:00"/>
    <x v="3"/>
    <s v="Monitor"/>
    <s v="Frank"/>
    <n v="6"/>
    <n v="1468"/>
    <x v="1"/>
    <n v="8808"/>
    <n v="5671.9204269515176"/>
    <n v="3136.079573048482"/>
  </r>
  <r>
    <d v="2024-01-12T00:00:00"/>
    <x v="3"/>
    <s v="Printer"/>
    <s v="Hannah"/>
    <n v="6"/>
    <n v="630"/>
    <x v="1"/>
    <n v="3780"/>
    <n v="3158.301142150463"/>
    <n v="621.69885784953703"/>
  </r>
  <r>
    <d v="2024-10-01T00:00:00"/>
    <x v="2"/>
    <s v="Laptop"/>
    <s v="Frank"/>
    <n v="14"/>
    <n v="258"/>
    <x v="2"/>
    <n v="3612"/>
    <n v="2432.8185384269041"/>
    <n v="1179.1814615730959"/>
  </r>
  <r>
    <d v="2024-04-10T00:00:00"/>
    <x v="1"/>
    <s v="Laptop"/>
    <s v="David"/>
    <n v="11"/>
    <n v="1661"/>
    <x v="2"/>
    <n v="18271"/>
    <n v="15006.80031022233"/>
    <n v="3264.199689777673"/>
  </r>
  <r>
    <d v="2024-02-13T00:00:00"/>
    <x v="0"/>
    <s v="Camera"/>
    <s v="Eva"/>
    <n v="8"/>
    <n v="1549"/>
    <x v="2"/>
    <n v="12392"/>
    <n v="9126.7140170395905"/>
    <n v="3265.285982960409"/>
  </r>
  <r>
    <d v="2024-10-31T00:00:00"/>
    <x v="1"/>
    <s v="Smartwatch"/>
    <s v="David"/>
    <n v="8"/>
    <n v="780"/>
    <x v="0"/>
    <n v="6240"/>
    <n v="5590.2852056427901"/>
    <n v="649.71479435720994"/>
  </r>
  <r>
    <d v="2024-01-17T00:00:00"/>
    <x v="2"/>
    <s v="Tablet"/>
    <s v="Frank"/>
    <n v="1"/>
    <n v="122"/>
    <x v="2"/>
    <n v="122"/>
    <n v="94.424114205423678"/>
    <n v="27.575885794576319"/>
  </r>
  <r>
    <d v="2024-11-25T00:00:00"/>
    <x v="3"/>
    <s v="Monitor"/>
    <s v="Frank"/>
    <n v="7"/>
    <n v="1170"/>
    <x v="1"/>
    <n v="8190"/>
    <n v="6468.2474978892433"/>
    <n v="1721.752502110757"/>
  </r>
  <r>
    <d v="2024-02-26T00:00:00"/>
    <x v="2"/>
    <s v="Mobile"/>
    <s v="Grace"/>
    <n v="6"/>
    <n v="624"/>
    <x v="2"/>
    <n v="3744"/>
    <n v="2659.9212587577658"/>
    <n v="1084.0787412422339"/>
  </r>
  <r>
    <d v="2024-11-06T00:00:00"/>
    <x v="1"/>
    <s v="Monitor"/>
    <s v="Hannah"/>
    <n v="8"/>
    <n v="828"/>
    <x v="1"/>
    <n v="6624"/>
    <n v="5434.0384576744191"/>
    <n v="1189.9615423255809"/>
  </r>
  <r>
    <d v="2024-10-29T00:00:00"/>
    <x v="0"/>
    <s v="Tablet"/>
    <s v="Eva"/>
    <n v="19"/>
    <n v="1957"/>
    <x v="2"/>
    <n v="37183"/>
    <n v="27830.199837960321"/>
    <n v="9352.8001620396753"/>
  </r>
  <r>
    <d v="2024-01-12T00:00:00"/>
    <x v="2"/>
    <s v="Smartwatch"/>
    <s v="David"/>
    <n v="8"/>
    <n v="1829"/>
    <x v="0"/>
    <n v="14632"/>
    <n v="8858.5053014168061"/>
    <n v="5773.4946985831939"/>
  </r>
  <r>
    <d v="2024-11-13T00:00:00"/>
    <x v="0"/>
    <s v="Mobile"/>
    <s v="Hannah"/>
    <n v="14"/>
    <n v="243"/>
    <x v="2"/>
    <n v="3402"/>
    <n v="2662.3183787918829"/>
    <n v="739.68162120811667"/>
  </r>
  <r>
    <d v="2024-03-20T00:00:00"/>
    <x v="2"/>
    <s v="Tablet"/>
    <s v="Alice"/>
    <n v="18"/>
    <n v="1708"/>
    <x v="2"/>
    <n v="30744"/>
    <n v="26105.894894448091"/>
    <n v="4638.1051055519129"/>
  </r>
  <r>
    <d v="2024-08-03T00:00:00"/>
    <x v="0"/>
    <s v="Camera"/>
    <s v="Hannah"/>
    <n v="16"/>
    <n v="767"/>
    <x v="2"/>
    <n v="12272"/>
    <n v="8235.0093966545555"/>
    <n v="4036.990603345444"/>
  </r>
  <r>
    <d v="2024-12-04T00:00:00"/>
    <x v="0"/>
    <s v="Mobile"/>
    <s v="Alice"/>
    <n v="9"/>
    <n v="1712"/>
    <x v="2"/>
    <n v="15408"/>
    <n v="10266.645101505759"/>
    <n v="5141.3548984942427"/>
  </r>
  <r>
    <d v="2024-09-20T00:00:00"/>
    <x v="3"/>
    <s v="Laptop"/>
    <s v="Eva"/>
    <n v="15"/>
    <n v="1542"/>
    <x v="2"/>
    <n v="23130"/>
    <n v="18103.06122466462"/>
    <n v="5026.938775335384"/>
  </r>
  <r>
    <d v="2024-05-28T00:00:00"/>
    <x v="0"/>
    <s v="Tablet"/>
    <s v="David"/>
    <n v="10"/>
    <n v="780"/>
    <x v="2"/>
    <n v="7800"/>
    <n v="6594.0715068356558"/>
    <n v="1205.928493164344"/>
  </r>
  <r>
    <d v="2024-03-21T00:00:00"/>
    <x v="3"/>
    <s v="Monitor"/>
    <s v="David"/>
    <n v="16"/>
    <n v="1072"/>
    <x v="1"/>
    <n v="17152"/>
    <n v="11575.6464104079"/>
    <n v="5576.3535895920977"/>
  </r>
  <r>
    <d v="2024-08-02T00:00:00"/>
    <x v="1"/>
    <s v="Mobile"/>
    <s v="Bob"/>
    <n v="4"/>
    <n v="898"/>
    <x v="2"/>
    <n v="3592"/>
    <n v="3159.8062329794989"/>
    <n v="432.19376702050113"/>
  </r>
  <r>
    <d v="2024-07-16T00:00:00"/>
    <x v="1"/>
    <s v="Camera"/>
    <s v="Frank"/>
    <n v="13"/>
    <n v="184"/>
    <x v="2"/>
    <n v="2392"/>
    <n v="2100.6931671546799"/>
    <n v="291.30683284532012"/>
  </r>
  <r>
    <d v="2024-07-18T00:00:00"/>
    <x v="3"/>
    <s v="Monitor"/>
    <s v="Charlie"/>
    <n v="5"/>
    <n v="515"/>
    <x v="1"/>
    <n v="2575"/>
    <n v="1699.914579048879"/>
    <n v="875.08542095112148"/>
  </r>
  <r>
    <d v="2024-01-25T00:00:00"/>
    <x v="3"/>
    <s v="Printer"/>
    <s v="Grace"/>
    <n v="7"/>
    <n v="793"/>
    <x v="1"/>
    <n v="5551"/>
    <n v="3769.880181398215"/>
    <n v="1781.119818601785"/>
  </r>
  <r>
    <d v="2024-03-29T00:00:00"/>
    <x v="2"/>
    <s v="Mobile"/>
    <s v="Hannah"/>
    <n v="9"/>
    <n v="581"/>
    <x v="2"/>
    <n v="5229"/>
    <n v="4236.4293547343814"/>
    <n v="992.57064526561862"/>
  </r>
  <r>
    <d v="2024-09-24T00:00:00"/>
    <x v="2"/>
    <s v="Mobile"/>
    <s v="Eva"/>
    <n v="8"/>
    <n v="555"/>
    <x v="2"/>
    <n v="4440"/>
    <n v="3931.7085012205348"/>
    <n v="508.29149877946469"/>
  </r>
  <r>
    <d v="2024-05-22T00:00:00"/>
    <x v="2"/>
    <s v="Camera"/>
    <s v="Charlie"/>
    <n v="16"/>
    <n v="926"/>
    <x v="2"/>
    <n v="14816"/>
    <n v="12044.88657507296"/>
    <n v="2771.1134249270358"/>
  </r>
  <r>
    <d v="2024-02-28T00:00:00"/>
    <x v="1"/>
    <s v="Printer"/>
    <s v="Hannah"/>
    <n v="6"/>
    <n v="396"/>
    <x v="1"/>
    <n v="2376"/>
    <n v="1742.7247555120789"/>
    <n v="633.27524448792065"/>
  </r>
  <r>
    <d v="2024-12-30T00:00:00"/>
    <x v="2"/>
    <s v="Tablet"/>
    <s v="Charlie"/>
    <n v="16"/>
    <n v="1235"/>
    <x v="2"/>
    <n v="19760"/>
    <n v="12857.839981616309"/>
    <n v="6902.160018383689"/>
  </r>
  <r>
    <d v="2024-01-26T00:00:00"/>
    <x v="0"/>
    <s v="Headphones"/>
    <s v="Eva"/>
    <n v="6"/>
    <n v="1353"/>
    <x v="0"/>
    <n v="8118"/>
    <n v="5993.5433858640145"/>
    <n v="2124.456614135986"/>
  </r>
  <r>
    <d v="2024-02-16T00:00:00"/>
    <x v="0"/>
    <s v="Tablet"/>
    <s v="David"/>
    <n v="14"/>
    <n v="1219"/>
    <x v="2"/>
    <n v="17066"/>
    <n v="13346.129741330849"/>
    <n v="3719.8702586691538"/>
  </r>
  <r>
    <d v="2024-10-14T00:00:00"/>
    <x v="2"/>
    <s v="Printer"/>
    <s v="Eva"/>
    <n v="1"/>
    <n v="1049"/>
    <x v="1"/>
    <n v="1049"/>
    <n v="733.55056889565788"/>
    <n v="315.44943110434212"/>
  </r>
  <r>
    <d v="2024-09-22T00:00:00"/>
    <x v="0"/>
    <s v="Smartwatch"/>
    <s v="Hannah"/>
    <n v="9"/>
    <n v="779"/>
    <x v="0"/>
    <n v="7011"/>
    <n v="5279.8252753301495"/>
    <n v="1731.174724669851"/>
  </r>
  <r>
    <d v="2024-01-16T00:00:00"/>
    <x v="1"/>
    <s v="Monitor"/>
    <s v="Charlie"/>
    <n v="13"/>
    <n v="477"/>
    <x v="1"/>
    <n v="6201"/>
    <n v="3962.8373429298908"/>
    <n v="2238.1626570701092"/>
  </r>
  <r>
    <d v="2024-07-17T00:00:00"/>
    <x v="0"/>
    <s v="Camera"/>
    <s v="Frank"/>
    <n v="19"/>
    <n v="1279"/>
    <x v="2"/>
    <n v="24301"/>
    <n v="17877.186938328108"/>
    <n v="6423.8130616718918"/>
  </r>
  <r>
    <d v="2024-10-08T00:00:00"/>
    <x v="1"/>
    <s v="Tablet"/>
    <s v="Grace"/>
    <n v="17"/>
    <n v="520"/>
    <x v="2"/>
    <n v="8840"/>
    <n v="5544.737471801177"/>
    <n v="3295.262528198823"/>
  </r>
  <r>
    <d v="2024-03-26T00:00:00"/>
    <x v="3"/>
    <s v="Mobile"/>
    <s v="Grace"/>
    <n v="11"/>
    <n v="204"/>
    <x v="2"/>
    <n v="2244"/>
    <n v="1379.446546465661"/>
    <n v="864.5534535343395"/>
  </r>
  <r>
    <d v="2024-09-06T00:00:00"/>
    <x v="3"/>
    <s v="Camera"/>
    <s v="Frank"/>
    <n v="8"/>
    <n v="1828"/>
    <x v="2"/>
    <n v="14624"/>
    <n v="12535.282957717371"/>
    <n v="2088.717042282633"/>
  </r>
  <r>
    <d v="2024-09-26T00:00:00"/>
    <x v="3"/>
    <s v="Laptop"/>
    <s v="Frank"/>
    <n v="5"/>
    <n v="429"/>
    <x v="2"/>
    <n v="2145"/>
    <n v="1418.9699993979989"/>
    <n v="726.03000060200065"/>
  </r>
  <r>
    <d v="2024-11-30T00:00:00"/>
    <x v="3"/>
    <s v="Printer"/>
    <s v="David"/>
    <n v="10"/>
    <n v="538"/>
    <x v="1"/>
    <n v="5380"/>
    <n v="4156.3007012124835"/>
    <n v="1223.699298787516"/>
  </r>
  <r>
    <d v="2024-04-26T00:00:00"/>
    <x v="0"/>
    <s v="Monitor"/>
    <s v="Hannah"/>
    <n v="7"/>
    <n v="1255"/>
    <x v="1"/>
    <n v="8785"/>
    <n v="5663.6440597895344"/>
    <n v="3121.3559402104661"/>
  </r>
  <r>
    <d v="2024-01-07T00:00:00"/>
    <x v="2"/>
    <s v="Tablet"/>
    <s v="Alice"/>
    <n v="10"/>
    <n v="1990"/>
    <x v="2"/>
    <n v="19900"/>
    <n v="13507.289598328471"/>
    <n v="6392.7104016715293"/>
  </r>
  <r>
    <d v="2024-05-16T00:00:00"/>
    <x v="0"/>
    <s v="Camera"/>
    <s v="Eva"/>
    <n v="4"/>
    <n v="481"/>
    <x v="2"/>
    <n v="1924"/>
    <n v="1362.965113090946"/>
    <n v="561.03488690905351"/>
  </r>
  <r>
    <d v="2024-06-24T00:00:00"/>
    <x v="1"/>
    <s v="Monitor"/>
    <s v="Grace"/>
    <n v="9"/>
    <n v="237"/>
    <x v="1"/>
    <n v="2133"/>
    <n v="1371.7385516234169"/>
    <n v="761.26144837658262"/>
  </r>
  <r>
    <d v="2024-11-23T00:00:00"/>
    <x v="0"/>
    <s v="Tablet"/>
    <s v="Frank"/>
    <n v="14"/>
    <n v="1042"/>
    <x v="2"/>
    <n v="14588"/>
    <n v="8953.949396639422"/>
    <n v="5634.050603360578"/>
  </r>
  <r>
    <d v="2024-11-10T00:00:00"/>
    <x v="0"/>
    <s v="Camera"/>
    <s v="Eva"/>
    <n v="2"/>
    <n v="942"/>
    <x v="2"/>
    <n v="1884"/>
    <n v="1626.17072010058"/>
    <n v="257.82927989941999"/>
  </r>
  <r>
    <d v="2024-08-02T00:00:00"/>
    <x v="1"/>
    <s v="Mobile"/>
    <s v="Grace"/>
    <n v="9"/>
    <n v="369"/>
    <x v="2"/>
    <n v="3321"/>
    <n v="2004.389054387017"/>
    <n v="1316.610945612983"/>
  </r>
  <r>
    <d v="2024-03-22T00:00:00"/>
    <x v="3"/>
    <s v="Laptop"/>
    <s v="Frank"/>
    <n v="1"/>
    <n v="1673"/>
    <x v="2"/>
    <n v="1673"/>
    <n v="1034.57700128492"/>
    <n v="638.42299871507953"/>
  </r>
  <r>
    <d v="2024-08-10T00:00:00"/>
    <x v="3"/>
    <s v="Laptop"/>
    <s v="Hannah"/>
    <n v="10"/>
    <n v="495"/>
    <x v="2"/>
    <n v="4950"/>
    <n v="4165.532158829732"/>
    <n v="784.467841170268"/>
  </r>
  <r>
    <d v="2024-04-12T00:00:00"/>
    <x v="3"/>
    <s v="Smartwatch"/>
    <s v="Grace"/>
    <n v="10"/>
    <n v="1680"/>
    <x v="0"/>
    <n v="16800"/>
    <n v="11501.322017336201"/>
    <n v="5298.6779826637976"/>
  </r>
  <r>
    <d v="2024-09-29T00:00:00"/>
    <x v="2"/>
    <s v="Camera"/>
    <s v="David"/>
    <n v="3"/>
    <n v="1012"/>
    <x v="2"/>
    <n v="3036"/>
    <n v="2479.9447302552671"/>
    <n v="556.05526974473332"/>
  </r>
  <r>
    <d v="2024-01-14T00:00:00"/>
    <x v="1"/>
    <s v="Tablet"/>
    <s v="Alice"/>
    <n v="6"/>
    <n v="563"/>
    <x v="2"/>
    <n v="3378"/>
    <n v="2174.9851742574342"/>
    <n v="1203.014825742566"/>
  </r>
  <r>
    <d v="2024-06-07T00:00:00"/>
    <x v="1"/>
    <s v="Laptop"/>
    <s v="Alice"/>
    <n v="6"/>
    <n v="1798"/>
    <x v="2"/>
    <n v="10788"/>
    <n v="7240.7386511584227"/>
    <n v="3547.2613488415768"/>
  </r>
  <r>
    <d v="2024-05-31T00:00:00"/>
    <x v="0"/>
    <s v="Printer"/>
    <s v="Frank"/>
    <n v="2"/>
    <n v="549"/>
    <x v="1"/>
    <n v="1098"/>
    <n v="847.47258456704969"/>
    <n v="250.52741543295031"/>
  </r>
  <r>
    <d v="2024-04-17T00:00:00"/>
    <x v="2"/>
    <s v="Laptop"/>
    <s v="Grace"/>
    <n v="18"/>
    <n v="1454"/>
    <x v="2"/>
    <n v="26172"/>
    <n v="23465.573149482461"/>
    <n v="2706.4268505175419"/>
  </r>
  <r>
    <d v="2024-07-06T00:00:00"/>
    <x v="3"/>
    <s v="Headphones"/>
    <s v="David"/>
    <n v="2"/>
    <n v="1376"/>
    <x v="0"/>
    <n v="2752"/>
    <n v="1711.8357545634551"/>
    <n v="1040.1642454365449"/>
  </r>
  <r>
    <d v="2024-10-27T00:00:00"/>
    <x v="2"/>
    <s v="Headphones"/>
    <s v="Bob"/>
    <n v="12"/>
    <n v="1804"/>
    <x v="0"/>
    <n v="21648"/>
    <n v="15590.161781133211"/>
    <n v="6057.8382188667892"/>
  </r>
  <r>
    <d v="2024-04-07T00:00:00"/>
    <x v="1"/>
    <s v="Laptop"/>
    <s v="Eva"/>
    <n v="5"/>
    <n v="1408"/>
    <x v="2"/>
    <n v="7040"/>
    <n v="4314.9870086525134"/>
    <n v="2725.0129913474871"/>
  </r>
  <r>
    <d v="2024-05-10T00:00:00"/>
    <x v="1"/>
    <s v="Camera"/>
    <s v="Eva"/>
    <n v="7"/>
    <n v="1397"/>
    <x v="2"/>
    <n v="9779"/>
    <n v="6451.8706148198326"/>
    <n v="3327.129385180167"/>
  </r>
  <r>
    <d v="2024-10-19T00:00:00"/>
    <x v="0"/>
    <m/>
    <s v="Charlie"/>
    <n v="16"/>
    <n v="119"/>
    <x v="0"/>
    <n v="1904"/>
    <n v="1660.7474505301541"/>
    <n v="243.25254946984609"/>
  </r>
  <r>
    <d v="2024-06-19T00:00:00"/>
    <x v="0"/>
    <s v="Laptop"/>
    <s v="David"/>
    <n v="1"/>
    <n v="338"/>
    <x v="2"/>
    <n v="338"/>
    <n v="212.58105452428259"/>
    <n v="125.41894547571739"/>
  </r>
  <r>
    <d v="2024-07-01T00:00:00"/>
    <x v="1"/>
    <s v="Mobile"/>
    <s v="Grace"/>
    <n v="1"/>
    <n v="1393"/>
    <x v="2"/>
    <n v="1393"/>
    <n v="1193.8800895428769"/>
    <n v="199.11991045712281"/>
  </r>
  <r>
    <d v="2024-12-29T00:00:00"/>
    <x v="3"/>
    <s v="Monitor"/>
    <s v="Hannah"/>
    <n v="17"/>
    <n v="517"/>
    <x v="1"/>
    <n v="8789"/>
    <n v="5742.213797924851"/>
    <n v="3046.786202075149"/>
  </r>
  <r>
    <d v="2024-02-08T00:00:00"/>
    <x v="3"/>
    <s v="Tablet"/>
    <s v="Hannah"/>
    <n v="1"/>
    <n v="1433"/>
    <x v="2"/>
    <n v="1433"/>
    <n v="1230.281305526559"/>
    <n v="202.71869447344099"/>
  </r>
  <r>
    <d v="2024-01-15T00:00:00"/>
    <x v="2"/>
    <s v="Smartwatch"/>
    <s v="Charlie"/>
    <n v="13"/>
    <n v="1154"/>
    <x v="0"/>
    <n v="15002"/>
    <n v="11422.621647288421"/>
    <n v="3579.3783527115788"/>
  </r>
  <r>
    <d v="2024-01-04T00:00:00"/>
    <x v="1"/>
    <s v="Mobile"/>
    <s v="Frank"/>
    <n v="9"/>
    <n v="1949"/>
    <x v="2"/>
    <n v="17541"/>
    <n v="15145.986981783921"/>
    <n v="2395.013018216081"/>
  </r>
  <r>
    <d v="2024-12-14T00:00:00"/>
    <x v="1"/>
    <s v="Smartwatch"/>
    <s v="Grace"/>
    <n v="15"/>
    <n v="1227"/>
    <x v="0"/>
    <n v="18405"/>
    <n v="11880.63167394337"/>
    <n v="6524.3683260566304"/>
  </r>
  <r>
    <d v="2024-07-28T00:00:00"/>
    <x v="3"/>
    <s v="Mobile"/>
    <s v="Charlie"/>
    <m/>
    <n v="1805"/>
    <x v="2"/>
    <m/>
    <m/>
    <m/>
  </r>
  <r>
    <d v="2024-06-09T00:00:00"/>
    <x v="3"/>
    <s v="Tablet"/>
    <s v="Alice"/>
    <n v="14"/>
    <n v="285"/>
    <x v="2"/>
    <n v="3990"/>
    <n v="3208.7962195084501"/>
    <n v="781.20378049154988"/>
  </r>
  <r>
    <d v="2024-01-16T00:00:00"/>
    <x v="1"/>
    <s v="Tablet"/>
    <s v="Eva"/>
    <n v="11"/>
    <n v="1251"/>
    <x v="2"/>
    <n v="13761"/>
    <n v="10497.99190317437"/>
    <n v="3263.008096825632"/>
  </r>
  <r>
    <d v="2024-04-17T00:00:00"/>
    <x v="0"/>
    <s v="Headphones"/>
    <s v="Grace"/>
    <n v="12"/>
    <n v="1333"/>
    <x v="0"/>
    <n v="15996"/>
    <n v="13487.446548359379"/>
    <n v="2508.5534516406219"/>
  </r>
  <r>
    <d v="2024-11-06T00:00:00"/>
    <x v="1"/>
    <s v="Camera"/>
    <s v="Charlie"/>
    <n v="13"/>
    <n v="1537"/>
    <x v="2"/>
    <n v="19981"/>
    <n v="15874.560973223"/>
    <n v="4106.4390267769959"/>
  </r>
  <r>
    <d v="2024-08-14T00:00:00"/>
    <x v="1"/>
    <s v="Mobile"/>
    <s v="Alice"/>
    <n v="13"/>
    <n v="1404"/>
    <x v="2"/>
    <n v="18252"/>
    <n v="15753.558140382191"/>
    <n v="2498.4418596178061"/>
  </r>
  <r>
    <d v="2024-06-18T00:00:00"/>
    <x v="4"/>
    <s v="Monitor"/>
    <s v="David"/>
    <n v="1"/>
    <n v="352"/>
    <x v="1"/>
    <n v="352"/>
    <n v="251.44016270055579"/>
    <n v="100.5598372994442"/>
  </r>
  <r>
    <d v="2024-02-03T00:00:00"/>
    <x v="3"/>
    <s v="Headphones"/>
    <s v="Charlie"/>
    <n v="10"/>
    <n v="118"/>
    <x v="0"/>
    <n v="1180"/>
    <n v="916.83280510893042"/>
    <n v="263.16719489106958"/>
  </r>
  <r>
    <d v="2024-09-07T00:00:00"/>
    <x v="0"/>
    <s v="Mobile"/>
    <s v="Frank"/>
    <n v="3"/>
    <n v="811"/>
    <x v="2"/>
    <n v="2433"/>
    <n v="2095.2515549960121"/>
    <n v="337.74844500398831"/>
  </r>
  <r>
    <d v="2024-09-03T00:00:00"/>
    <x v="0"/>
    <s v="Headphones"/>
    <s v="Frank"/>
    <n v="4"/>
    <n v="1855"/>
    <x v="0"/>
    <n v="7420"/>
    <n v="4930.1761066958043"/>
    <n v="2489.8238933041962"/>
  </r>
  <r>
    <d v="2024-09-25T00:00:00"/>
    <x v="2"/>
    <s v="Tablet"/>
    <s v="Frank"/>
    <n v="16"/>
    <n v="1259"/>
    <x v="2"/>
    <n v="20144"/>
    <n v="15021.832166306969"/>
    <n v="5122.1678336930254"/>
  </r>
  <r>
    <d v="2024-05-20T00:00:00"/>
    <x v="1"/>
    <s v="Smartwatch"/>
    <s v="Grace"/>
    <n v="8"/>
    <n v="322"/>
    <x v="0"/>
    <n v="2576"/>
    <n v="2288.0612798319148"/>
    <n v="287.93872016808473"/>
  </r>
  <r>
    <d v="2024-09-30T00:00:00"/>
    <x v="3"/>
    <s v="Printer"/>
    <s v="Hannah"/>
    <n v="16"/>
    <n v="102"/>
    <x v="1"/>
    <n v="1632"/>
    <n v="1211.075442011798"/>
    <n v="420.92455798820242"/>
  </r>
  <r>
    <d v="2024-04-05T00:00:00"/>
    <x v="0"/>
    <s v="Headphones"/>
    <s v="Hannah"/>
    <n v="17"/>
    <n v="1359"/>
    <x v="0"/>
    <n v="23103"/>
    <n v="15614.13560170577"/>
    <n v="7488.8643982942303"/>
  </r>
  <r>
    <d v="2024-08-14T00:00:00"/>
    <x v="2"/>
    <s v="Mobile"/>
    <s v="Eva"/>
    <n v="19"/>
    <n v="953"/>
    <x v="2"/>
    <n v="18107"/>
    <n v="12771.281236477151"/>
    <n v="5335.7187635228547"/>
  </r>
  <r>
    <d v="2024-02-08T00:00:00"/>
    <x v="2"/>
    <s v="Mobile"/>
    <s v="Charlie"/>
    <n v="15"/>
    <n v="1588"/>
    <x v="2"/>
    <n v="23820"/>
    <n v="20616.811117042649"/>
    <n v="3203.1888829573509"/>
  </r>
  <r>
    <d v="2024-10-28T00:00:00"/>
    <x v="3"/>
    <s v="Printer"/>
    <s v="David"/>
    <n v="16"/>
    <m/>
    <x v="1"/>
    <m/>
    <m/>
    <m/>
  </r>
  <r>
    <d v="2024-01-29T00:00:00"/>
    <x v="3"/>
    <s v="Camera"/>
    <s v="Charlie"/>
    <n v="15"/>
    <n v="1012"/>
    <x v="2"/>
    <n v="15180"/>
    <n v="13434.79020479268"/>
    <n v="1745.209795207322"/>
  </r>
  <r>
    <d v="2024-11-13T00:00:00"/>
    <x v="2"/>
    <s v="Monitor"/>
    <s v="Eva"/>
    <n v="2"/>
    <n v="1777"/>
    <x v="1"/>
    <n v="3554"/>
    <n v="2877.612378316891"/>
    <n v="676.38762168310905"/>
  </r>
  <r>
    <d v="2024-09-01T00:00:00"/>
    <x v="0"/>
    <s v="Tablet"/>
    <s v="Alice"/>
    <n v="11"/>
    <n v="598"/>
    <x v="2"/>
    <n v="6578"/>
    <n v="4952.4483674064904"/>
    <n v="1625.55163259351"/>
  </r>
  <r>
    <d v="2024-08-23T00:00:00"/>
    <x v="2"/>
    <s v="Mobile"/>
    <s v="Eva"/>
    <n v="1"/>
    <n v="620"/>
    <x v="2"/>
    <n v="620"/>
    <n v="405.98014189276557"/>
    <n v="214.0198581072344"/>
  </r>
  <r>
    <d v="2024-07-03T00:00:00"/>
    <x v="1"/>
    <s v="Laptop"/>
    <s v="Frank"/>
    <n v="15"/>
    <n v="801"/>
    <x v="2"/>
    <n v="12015"/>
    <n v="7653.1501380079899"/>
    <n v="4361.8498619920101"/>
  </r>
  <r>
    <d v="2024-09-28T00:00:00"/>
    <x v="1"/>
    <s v="Smartwatch"/>
    <s v="Grace"/>
    <n v="19"/>
    <n v="1985"/>
    <x v="0"/>
    <n v="37715"/>
    <n v="23305.229282158009"/>
    <n v="14409.77071784199"/>
  </r>
  <r>
    <d v="2024-08-23T00:00:00"/>
    <x v="3"/>
    <s v="Headphones"/>
    <s v="Alice"/>
    <n v="4"/>
    <n v="1016"/>
    <x v="0"/>
    <n v="4064"/>
    <n v="2459.9980176733352"/>
    <n v="1604.001982326665"/>
  </r>
  <r>
    <d v="2024-08-26T00:00:00"/>
    <x v="0"/>
    <s v="Camera"/>
    <s v="Grace"/>
    <n v="11"/>
    <n v="1800"/>
    <x v="2"/>
    <n v="19800"/>
    <n v="17096.013329307749"/>
    <n v="2703.986670692248"/>
  </r>
  <r>
    <d v="2024-09-22T00:00:00"/>
    <x v="0"/>
    <s v="Monitor"/>
    <s v="Frank"/>
    <n v="5"/>
    <n v="1262"/>
    <x v="1"/>
    <n v="6310"/>
    <n v="5317.6003958157307"/>
    <n v="992.39960418426926"/>
  </r>
  <r>
    <d v="2024-12-24T00:00:00"/>
    <x v="1"/>
    <s v="Printer"/>
    <s v="Bob"/>
    <n v="3"/>
    <n v="1399"/>
    <x v="1"/>
    <n v="4197"/>
    <n v="3233.1439001881431"/>
    <n v="963.85609981185689"/>
  </r>
  <r>
    <d v="2024-12-05T00:00:00"/>
    <x v="2"/>
    <s v="Smartwatch"/>
    <s v="Eva"/>
    <n v="13"/>
    <n v="390"/>
    <x v="0"/>
    <n v="5070"/>
    <n v="4561.0580701518629"/>
    <n v="508.94192984813708"/>
  </r>
  <r>
    <d v="2024-03-05T00:00:00"/>
    <x v="3"/>
    <s v="Tablet"/>
    <s v="Eva"/>
    <n v="10"/>
    <n v="1176"/>
    <x v="2"/>
    <n v="11760"/>
    <n v="10418.367710727391"/>
    <n v="1341.6322892726089"/>
  </r>
  <r>
    <d v="2024-06-25T00:00:00"/>
    <x v="2"/>
    <s v="Camera"/>
    <s v="David"/>
    <n v="11"/>
    <n v="1810"/>
    <x v="2"/>
    <n v="19910"/>
    <n v="15858.965882078939"/>
    <n v="4051.0341179210568"/>
  </r>
  <r>
    <d v="2024-01-03T00:00:00"/>
    <x v="2"/>
    <s v="Monitor"/>
    <s v="Charlie"/>
    <n v="18"/>
    <n v="1233"/>
    <x v="1"/>
    <n v="22194"/>
    <n v="16409.63038226742"/>
    <n v="5784.3696177325837"/>
  </r>
  <r>
    <d v="2024-05-21T00:00:00"/>
    <x v="2"/>
    <s v="Headphones"/>
    <s v="Alice"/>
    <n v="2"/>
    <n v="814"/>
    <x v="0"/>
    <n v="1628"/>
    <n v="1051.1201777496519"/>
    <n v="576.87982225034762"/>
  </r>
  <r>
    <d v="2024-06-06T00:00:00"/>
    <x v="0"/>
    <s v="Headphones"/>
    <s v="Hannah"/>
    <n v="7"/>
    <n v="1047"/>
    <x v="0"/>
    <n v="7329"/>
    <n v="5531.0360996127447"/>
    <n v="1797.9639003872551"/>
  </r>
  <r>
    <d v="2024-11-19T00:00:00"/>
    <x v="1"/>
    <s v="Printer"/>
    <m/>
    <n v="9"/>
    <n v="747"/>
    <x v="1"/>
    <n v="6723"/>
    <n v="4351.9532138428194"/>
    <n v="2371.046786157181"/>
  </r>
  <r>
    <d v="2024-05-25T00:00:00"/>
    <x v="0"/>
    <s v="Laptop"/>
    <s v="Alice"/>
    <n v="10"/>
    <n v="1127"/>
    <x v="2"/>
    <n v="11270"/>
    <n v="8109.1638596563653"/>
    <n v="3160.8361403436352"/>
  </r>
  <r>
    <d v="2024-10-19T00:00:00"/>
    <x v="1"/>
    <s v="Printer"/>
    <s v="David"/>
    <n v="18"/>
    <n v="1790"/>
    <x v="1"/>
    <n v="32220"/>
    <n v="28443.636616110969"/>
    <n v="3776.3633838890269"/>
  </r>
  <r>
    <d v="2024-06-01T00:00:00"/>
    <x v="3"/>
    <s v="Tablet"/>
    <s v="David"/>
    <n v="7"/>
    <n v="783"/>
    <x v="2"/>
    <n v="5481"/>
    <n v="3850.9160521645881"/>
    <n v="1630.0839478354119"/>
  </r>
  <r>
    <d v="2024-07-11T00:00:00"/>
    <x v="3"/>
    <s v="Camera"/>
    <s v="Grace"/>
    <n v="7"/>
    <n v="969"/>
    <x v="2"/>
    <n v="6783"/>
    <n v="4380.7068231370913"/>
    <n v="2402.2931768629091"/>
  </r>
  <r>
    <d v="2024-03-13T00:00:00"/>
    <x v="2"/>
    <s v="Camera"/>
    <s v="Hannah"/>
    <n v="3"/>
    <n v="1170"/>
    <x v="2"/>
    <n v="3510"/>
    <n v="2719.2636242607341"/>
    <n v="790.7363757392659"/>
  </r>
  <r>
    <d v="2024-10-31T00:00:00"/>
    <x v="1"/>
    <s v="Mobile"/>
    <s v="Charlie"/>
    <n v="12"/>
    <n v="193"/>
    <x v="2"/>
    <n v="2316"/>
    <n v="1808.122628183768"/>
    <n v="507.87737181623243"/>
  </r>
  <r>
    <d v="2024-12-09T00:00:00"/>
    <x v="1"/>
    <s v="Laptop"/>
    <s v="Grace"/>
    <n v="7"/>
    <n v="1039"/>
    <x v="2"/>
    <n v="7273"/>
    <n v="4786.6614766407456"/>
    <n v="2486.3385233592539"/>
  </r>
  <r>
    <d v="2024-05-19T00:00:00"/>
    <x v="1"/>
    <s v="Laptop"/>
    <s v="Grace"/>
    <n v="17"/>
    <n v="659"/>
    <x v="2"/>
    <n v="11203"/>
    <n v="7382.5078622042101"/>
    <n v="3820.4921377957899"/>
  </r>
  <r>
    <d v="2024-07-05T00:00:00"/>
    <x v="2"/>
    <s v="Camera"/>
    <s v="Frank"/>
    <n v="1"/>
    <n v="1875"/>
    <x v="2"/>
    <n v="1875"/>
    <n v="1681.621757620215"/>
    <n v="193.37824237978481"/>
  </r>
  <r>
    <d v="2024-10-19T00:00:00"/>
    <x v="2"/>
    <s v="Camera"/>
    <s v="Hannah"/>
    <n v="5"/>
    <n v="1982"/>
    <x v="2"/>
    <n v="9910"/>
    <n v="6669.2746296193563"/>
    <n v="3240.7253703806441"/>
  </r>
  <r>
    <d v="2024-03-01T00:00:00"/>
    <x v="3"/>
    <s v="Smartwatch"/>
    <s v="Charlie"/>
    <n v="16"/>
    <n v="312"/>
    <x v="0"/>
    <n v="4992"/>
    <n v="4250.4763912918961"/>
    <n v="741.52360870810389"/>
  </r>
  <r>
    <d v="2024-07-16T00:00:00"/>
    <x v="0"/>
    <s v="Monitor"/>
    <s v="Eva"/>
    <n v="15"/>
    <n v="535"/>
    <x v="1"/>
    <n v="8025"/>
    <n v="5947.3046100019455"/>
    <n v="2077.695389998054"/>
  </r>
  <r>
    <d v="2024-10-21T00:00:00"/>
    <x v="1"/>
    <s v="Smartwatch"/>
    <s v="Frank"/>
    <n v="2"/>
    <n v="951"/>
    <x v="0"/>
    <n v="1902"/>
    <n v="1389.4048597236031"/>
    <n v="512.59514027639739"/>
  </r>
  <r>
    <d v="2024-11-14T00:00:00"/>
    <x v="1"/>
    <s v="Smartwatch"/>
    <s v="Bob"/>
    <n v="9"/>
    <n v="607"/>
    <x v="0"/>
    <n v="5463"/>
    <n v="3761.2139038507739"/>
    <n v="1701.7860961492261"/>
  </r>
  <r>
    <d v="2024-10-28T00:00:00"/>
    <x v="0"/>
    <s v="Laptop"/>
    <s v="Hannah"/>
    <n v="7"/>
    <n v="935"/>
    <x v="2"/>
    <n v="6545"/>
    <n v="5446.4069521980919"/>
    <n v="1098.5930478019079"/>
  </r>
  <r>
    <d v="2024-12-09T00:00:00"/>
    <x v="1"/>
    <s v="Mobile"/>
    <s v="Charlie"/>
    <n v="4"/>
    <n v="750"/>
    <x v="2"/>
    <n v="3000"/>
    <n v="2592.594790597399"/>
    <n v="407.40520940260058"/>
  </r>
  <r>
    <d v="2024-01-11T00:00:00"/>
    <x v="2"/>
    <s v="Headphones"/>
    <s v="David"/>
    <n v="18"/>
    <n v="304"/>
    <x v="0"/>
    <n v="5472"/>
    <n v="3711.8668408953858"/>
    <n v="1760.1331591046139"/>
  </r>
  <r>
    <d v="2024-03-02T00:00:00"/>
    <x v="2"/>
    <s v="Smartwatch"/>
    <s v="Frank"/>
    <m/>
    <n v="480"/>
    <x v="0"/>
    <m/>
    <m/>
    <m/>
  </r>
  <r>
    <d v="2024-11-28T00:00:00"/>
    <x v="1"/>
    <s v="Mobile"/>
    <s v="Charlie"/>
    <n v="13"/>
    <n v="1196"/>
    <x v="2"/>
    <n v="15548"/>
    <n v="9967.4475624796396"/>
    <n v="5580.5524375203604"/>
  </r>
  <r>
    <d v="2024-08-13T00:00:00"/>
    <x v="2"/>
    <s v="Printer"/>
    <s v="Alice"/>
    <n v="1"/>
    <n v="1639"/>
    <x v="1"/>
    <n v="1639"/>
    <n v="1373.2214980445619"/>
    <n v="265.7785019554376"/>
  </r>
  <r>
    <d v="2024-06-01T00:00:00"/>
    <x v="2"/>
    <s v="Tablet"/>
    <s v="Grace"/>
    <n v="3"/>
    <n v="1199"/>
    <x v="2"/>
    <n v="3597"/>
    <n v="2628.5008200050079"/>
    <n v="968.49917999499166"/>
  </r>
  <r>
    <d v="2024-07-17T00:00:00"/>
    <x v="1"/>
    <s v="Smartwatch"/>
    <s v="Bob"/>
    <n v="16"/>
    <n v="1964"/>
    <x v="0"/>
    <n v="31424"/>
    <n v="20097.98586776957"/>
    <n v="11326.01413223043"/>
  </r>
  <r>
    <d v="2024-02-21T00:00:00"/>
    <x v="3"/>
    <s v="Printer"/>
    <s v="Eva"/>
    <n v="4"/>
    <n v="176"/>
    <x v="1"/>
    <n v="704"/>
    <n v="494.26886919582472"/>
    <n v="209.73113080417531"/>
  </r>
  <r>
    <d v="2024-09-16T00:00:00"/>
    <x v="0"/>
    <s v="Headphones"/>
    <s v="Grace"/>
    <n v="0"/>
    <n v="915"/>
    <x v="0"/>
    <n v="0"/>
    <n v="0"/>
    <n v="0"/>
  </r>
  <r>
    <d v="2024-02-28T00:00:00"/>
    <x v="2"/>
    <s v="Tablet"/>
    <s v="Alice"/>
    <n v="19"/>
    <n v="867"/>
    <x v="2"/>
    <n v="16473"/>
    <n v="14094.55421639365"/>
    <n v="2378.4457836063539"/>
  </r>
  <r>
    <d v="2024-03-12T00:00:00"/>
    <x v="3"/>
    <s v="Tablet"/>
    <s v="Alice"/>
    <n v="1"/>
    <m/>
    <x v="2"/>
    <m/>
    <m/>
    <m/>
  </r>
  <r>
    <d v="2024-05-27T00:00:00"/>
    <x v="2"/>
    <s v="Headphones"/>
    <s v="Bob"/>
    <n v="5"/>
    <n v="1737"/>
    <x v="0"/>
    <n v="8685"/>
    <n v="5669.6534632139419"/>
    <n v="3015.3465367860581"/>
  </r>
  <r>
    <d v="2024-12-14T00:00:00"/>
    <x v="2"/>
    <s v="Smartwatch"/>
    <s v="Eva"/>
    <n v="19"/>
    <n v="205"/>
    <x v="0"/>
    <n v="3895"/>
    <n v="2522.444119390716"/>
    <n v="1372.555880609284"/>
  </r>
  <r>
    <d v="2024-03-03T00:00:00"/>
    <x v="0"/>
    <s v="Laptop"/>
    <s v="David"/>
    <n v="11"/>
    <n v="1968"/>
    <x v="2"/>
    <n v="21648"/>
    <n v="15666.663330009051"/>
    <n v="5981.3366699909511"/>
  </r>
  <r>
    <d v="2024-11-05T00:00:00"/>
    <x v="2"/>
    <s v="Headphones"/>
    <s v="Frank"/>
    <n v="13"/>
    <n v="650"/>
    <x v="0"/>
    <n v="8450"/>
    <n v="5260.6138689239524"/>
    <n v="3189.3861310760481"/>
  </r>
  <r>
    <d v="2024-08-30T00:00:00"/>
    <x v="0"/>
    <s v="Headphones"/>
    <s v="Hannah"/>
    <n v="5"/>
    <n v="1599"/>
    <x v="0"/>
    <n v="7995"/>
    <n v="6609.2519028883689"/>
    <n v="1385.7480971116311"/>
  </r>
  <r>
    <d v="2024-12-31T00:00:00"/>
    <x v="0"/>
    <s v="Headphones"/>
    <s v="Eva"/>
    <n v="4"/>
    <n v="925"/>
    <x v="0"/>
    <n v="3700"/>
    <n v="2665.6137405371869"/>
    <n v="1034.3862594628131"/>
  </r>
  <r>
    <d v="2024-11-25T00:00:00"/>
    <x v="0"/>
    <s v="Tablet"/>
    <s v="Hannah"/>
    <n v="4"/>
    <n v="1398"/>
    <x v="2"/>
    <n v="5592"/>
    <n v="3930.6566812180599"/>
    <n v="1661.3433187819401"/>
  </r>
  <r>
    <d v="2024-04-16T00:00:00"/>
    <x v="3"/>
    <s v="Monitor"/>
    <s v="Charlie"/>
    <n v="4"/>
    <n v="187"/>
    <x v="1"/>
    <n v="748"/>
    <n v="563.04390978863819"/>
    <n v="184.95609021136181"/>
  </r>
  <r>
    <d v="2024-08-13T00:00:00"/>
    <x v="1"/>
    <s v="Mobile"/>
    <s v="Alice"/>
    <n v="4"/>
    <n v="1846"/>
    <x v="2"/>
    <n v="7384"/>
    <n v="6000.8811116954603"/>
    <n v="1383.11888830454"/>
  </r>
  <r>
    <d v="2024-11-08T00:00:00"/>
    <x v="3"/>
    <s v="Printer"/>
    <s v="Charlie"/>
    <n v="18"/>
    <n v="980"/>
    <x v="1"/>
    <n v="17640"/>
    <n v="13596.98403025723"/>
    <n v="4043.015969742768"/>
  </r>
  <r>
    <d v="2024-08-05T00:00:00"/>
    <x v="1"/>
    <s v="Laptop"/>
    <s v="David"/>
    <n v="18"/>
    <n v="1200"/>
    <x v="2"/>
    <n v="21600"/>
    <n v="18159.570025558482"/>
    <n v="3440.4299744415221"/>
  </r>
  <r>
    <d v="2024-08-28T00:00:00"/>
    <x v="1"/>
    <s v="Smartwatch"/>
    <s v="Charlie"/>
    <n v="16"/>
    <n v="1200"/>
    <x v="0"/>
    <n v="19200"/>
    <n v="15145.128367891881"/>
    <n v="4054.8716321081229"/>
  </r>
  <r>
    <d v="2024-09-15T00:00:00"/>
    <x v="0"/>
    <s v="Smartwatch"/>
    <s v="Eva"/>
    <n v="9"/>
    <n v="1565"/>
    <x v="0"/>
    <n v="14085"/>
    <n v="11780.568364933621"/>
    <n v="2304.4316350663812"/>
  </r>
  <r>
    <d v="2024-09-18T00:00:00"/>
    <x v="2"/>
    <s v="Printer"/>
    <s v="Charlie"/>
    <n v="18"/>
    <n v="639"/>
    <x v="1"/>
    <n v="11502"/>
    <n v="9305.5169131622679"/>
    <n v="2196.4830868377321"/>
  </r>
  <r>
    <d v="2024-01-05T00:00:00"/>
    <x v="0"/>
    <s v="Mobile"/>
    <s v="David"/>
    <n v="2"/>
    <n v="344"/>
    <x v="2"/>
    <n v="688"/>
    <n v="452.6605542304352"/>
    <n v="235.3394457695648"/>
  </r>
  <r>
    <d v="2024-09-17T00:00:00"/>
    <x v="2"/>
    <s v="Headphones"/>
    <s v="David"/>
    <n v="4"/>
    <n v="677"/>
    <x v="0"/>
    <n v="2708"/>
    <n v="1667.332755330943"/>
    <n v="1040.667244669057"/>
  </r>
  <r>
    <d v="2024-02-23T00:00:00"/>
    <x v="1"/>
    <s v="Monitor"/>
    <s v="David"/>
    <m/>
    <n v="1901"/>
    <x v="1"/>
    <m/>
    <m/>
    <m/>
  </r>
  <r>
    <d v="2024-02-16T00:00:00"/>
    <x v="0"/>
    <s v="Laptop"/>
    <s v="Eva"/>
    <n v="7"/>
    <n v="1505"/>
    <x v="2"/>
    <n v="10535"/>
    <n v="9309.7463106900777"/>
    <n v="1225.253689309922"/>
  </r>
  <r>
    <d v="2024-08-02T00:00:00"/>
    <x v="2"/>
    <s v="Smartwatch"/>
    <s v="David"/>
    <n v="15"/>
    <n v="1081"/>
    <x v="0"/>
    <n v="16215"/>
    <n v="13265.162156963799"/>
    <n v="2949.8378430362031"/>
  </r>
  <r>
    <d v="2024-06-25T00:00:00"/>
    <x v="3"/>
    <s v="Printer"/>
    <s v="Alice"/>
    <n v="7"/>
    <n v="816"/>
    <x v="1"/>
    <n v="5712"/>
    <n v="4668.1990977717787"/>
    <n v="1043.800902228221"/>
  </r>
  <r>
    <d v="2024-01-09T00:00:00"/>
    <x v="2"/>
    <s v="Camera"/>
    <s v="Grace"/>
    <n v="17"/>
    <n v="1693"/>
    <x v="2"/>
    <n v="28781"/>
    <n v="19601.130937110291"/>
    <n v="9179.8690628897129"/>
  </r>
  <r>
    <d v="2024-04-08T00:00:00"/>
    <x v="0"/>
    <s v="Monitor"/>
    <s v="David"/>
    <n v="16"/>
    <n v="1836"/>
    <x v="1"/>
    <n v="29376"/>
    <n v="22406.030292033822"/>
    <n v="6969.9697079661819"/>
  </r>
  <r>
    <d v="2024-01-20T00:00:00"/>
    <x v="3"/>
    <s v="Printer"/>
    <s v="Charlie"/>
    <n v="19"/>
    <n v="1860"/>
    <x v="1"/>
    <n v="35340"/>
    <n v="31723.72491459626"/>
    <n v="3616.2750854037399"/>
  </r>
  <r>
    <d v="2024-08-28T00:00:00"/>
    <x v="2"/>
    <m/>
    <s v="Frank"/>
    <n v="9"/>
    <n v="241"/>
    <x v="1"/>
    <n v="2169"/>
    <n v="1858.4926392641621"/>
    <n v="310.50736073583829"/>
  </r>
  <r>
    <d v="2024-03-01T00:00:00"/>
    <x v="2"/>
    <s v="Smartwatch"/>
    <s v="Charlie"/>
    <n v="14"/>
    <n v="992"/>
    <x v="0"/>
    <n v="13888"/>
    <n v="9601.0286304726378"/>
    <n v="4286.9713695273622"/>
  </r>
  <r>
    <d v="2024-06-26T00:00:00"/>
    <x v="2"/>
    <s v="Headphones"/>
    <s v="Frank"/>
    <n v="17"/>
    <n v="1491"/>
    <x v="0"/>
    <n v="25347"/>
    <n v="17497.382867353332"/>
    <n v="7849.617132646672"/>
  </r>
  <r>
    <d v="2024-12-03T00:00:00"/>
    <x v="1"/>
    <s v="Camera"/>
    <s v="Charlie"/>
    <n v="5"/>
    <n v="1207"/>
    <x v="2"/>
    <n v="6035"/>
    <n v="4496.516685623561"/>
    <n v="1538.483314376439"/>
  </r>
  <r>
    <d v="2024-03-02T00:00:00"/>
    <x v="2"/>
    <s v="Mobile"/>
    <s v="Eva"/>
    <n v="2"/>
    <n v="1266"/>
    <x v="2"/>
    <n v="2532"/>
    <n v="1826.5331468210491"/>
    <n v="705.46685317895071"/>
  </r>
  <r>
    <d v="2024-05-24T00:00:00"/>
    <x v="0"/>
    <s v="Laptop"/>
    <s v="Charlie"/>
    <n v="16"/>
    <n v="451"/>
    <x v="2"/>
    <n v="7216"/>
    <n v="5133.0721145873213"/>
    <n v="2082.9278854126792"/>
  </r>
  <r>
    <d v="2024-08-03T00:00:00"/>
    <x v="1"/>
    <s v="Mobile"/>
    <s v="Eva"/>
    <n v="14"/>
    <n v="644"/>
    <x v="2"/>
    <n v="9016"/>
    <n v="7105.4336189387477"/>
    <n v="1910.5663810612521"/>
  </r>
  <r>
    <d v="2024-01-03T00:00:00"/>
    <x v="3"/>
    <s v="Mobile"/>
    <s v="Eva"/>
    <n v="14"/>
    <n v="1012"/>
    <x v="2"/>
    <n v="14168"/>
    <n v="8549.6475929303888"/>
    <n v="5618.3524070696112"/>
  </r>
  <r>
    <d v="2024-06-08T00:00:00"/>
    <x v="3"/>
    <s v="Printer"/>
    <s v="David"/>
    <n v="1"/>
    <n v="251"/>
    <x v="1"/>
    <n v="251"/>
    <n v="208.07947459330569"/>
    <n v="42.920525406694281"/>
  </r>
  <r>
    <d v="2024-08-14T00:00:00"/>
    <x v="3"/>
    <s v="Monitor"/>
    <s v="Alice"/>
    <n v="3"/>
    <n v="1281"/>
    <x v="1"/>
    <n v="3843"/>
    <n v="3159.0070998675128"/>
    <n v="683.99290013248719"/>
  </r>
  <r>
    <d v="2024-09-25T00:00:00"/>
    <x v="1"/>
    <s v="Laptop"/>
    <s v="Frank"/>
    <n v="7"/>
    <n v="1569"/>
    <x v="2"/>
    <n v="10983"/>
    <n v="9325.6400849914808"/>
    <n v="1657.359915008519"/>
  </r>
  <r>
    <d v="2024-04-29T00:00:00"/>
    <x v="4"/>
    <s v="Laptop"/>
    <s v="David"/>
    <n v="15"/>
    <n v="752"/>
    <x v="2"/>
    <n v="11280"/>
    <n v="9615.4690784702561"/>
    <n v="1664.5309215297441"/>
  </r>
  <r>
    <d v="2024-03-29T00:00:00"/>
    <x v="1"/>
    <s v="Smartwatch"/>
    <s v="David"/>
    <n v="19"/>
    <n v="1057"/>
    <x v="0"/>
    <n v="20083"/>
    <n v="15462.30152096235"/>
    <n v="4620.6984790376537"/>
  </r>
  <r>
    <d v="2024-11-24T00:00:00"/>
    <x v="3"/>
    <s v="Smartwatch"/>
    <s v="Grace"/>
    <n v="2"/>
    <n v="862"/>
    <x v="0"/>
    <n v="1724"/>
    <n v="1437.854239504366"/>
    <n v="286.14576049563402"/>
  </r>
  <r>
    <d v="2024-03-08T00:00:00"/>
    <x v="2"/>
    <s v="Laptop"/>
    <s v="Eva"/>
    <n v="19"/>
    <n v="1426"/>
    <x v="2"/>
    <n v="27094"/>
    <n v="20258.686058930751"/>
    <n v="6835.3139410692456"/>
  </r>
  <r>
    <d v="2024-12-22T00:00:00"/>
    <x v="2"/>
    <s v="Camera"/>
    <s v="Eva"/>
    <n v="9"/>
    <n v="723"/>
    <x v="2"/>
    <n v="6507"/>
    <n v="5761.6813936721646"/>
    <n v="745.31860632783537"/>
  </r>
  <r>
    <d v="2024-04-07T00:00:00"/>
    <x v="3"/>
    <s v="Tablet"/>
    <s v="Frank"/>
    <n v="19"/>
    <n v="755"/>
    <x v="2"/>
    <n v="14345"/>
    <n v="9427.6711229402263"/>
    <n v="4917.3288770597737"/>
  </r>
  <r>
    <d v="2024-09-23T00:00:00"/>
    <x v="2"/>
    <s v="Smartwatch"/>
    <s v="Charlie"/>
    <n v="5"/>
    <n v="549"/>
    <x v="0"/>
    <n v="2745"/>
    <n v="2401.010675322857"/>
    <n v="343.98932467714349"/>
  </r>
  <r>
    <d v="2024-04-14T00:00:00"/>
    <x v="3"/>
    <s v="Tablet"/>
    <s v="Charlie"/>
    <n v="18"/>
    <n v="820"/>
    <x v="2"/>
    <n v="14760"/>
    <n v="10000.772439693479"/>
    <n v="4759.2275603065209"/>
  </r>
  <r>
    <d v="2024-11-18T00:00:00"/>
    <x v="2"/>
    <s v="Printer"/>
    <s v="Hannah"/>
    <n v="16"/>
    <n v="1347"/>
    <x v="1"/>
    <n v="21552"/>
    <n v="13595.36824490971"/>
    <n v="7956.6317550902913"/>
  </r>
  <r>
    <d v="2024-05-02T00:00:00"/>
    <x v="4"/>
    <s v="Camera"/>
    <s v="David"/>
    <n v="4"/>
    <n v="142"/>
    <x v="2"/>
    <n v="568"/>
    <n v="415.62339783814718"/>
    <n v="152.37660216185279"/>
  </r>
  <r>
    <d v="2024-01-29T00:00:00"/>
    <x v="0"/>
    <s v="Laptop"/>
    <s v="Hannah"/>
    <n v="12"/>
    <n v="363"/>
    <x v="2"/>
    <n v="4356"/>
    <n v="3417.1738523893059"/>
    <n v="938.82614761069362"/>
  </r>
  <r>
    <d v="2024-05-16T00:00:00"/>
    <x v="0"/>
    <s v="Camera"/>
    <s v="Bob"/>
    <n v="7"/>
    <n v="1879"/>
    <x v="2"/>
    <n v="13153"/>
    <n v="8803.2629406596916"/>
    <n v="4349.7370593403084"/>
  </r>
  <r>
    <d v="2024-07-13T00:00:00"/>
    <x v="1"/>
    <s v="Smartwatch"/>
    <s v="Bob"/>
    <n v="14"/>
    <n v="1126"/>
    <x v="0"/>
    <n v="15764"/>
    <n v="12086.87158361961"/>
    <n v="3677.1284163803871"/>
  </r>
  <r>
    <d v="2024-08-13T00:00:00"/>
    <x v="1"/>
    <s v="Mobile"/>
    <s v="Hannah"/>
    <n v="12"/>
    <n v="1760"/>
    <x v="2"/>
    <n v="21120"/>
    <n v="17790.812309537021"/>
    <n v="3329.1876904629789"/>
  </r>
  <r>
    <d v="2024-11-27T00:00:00"/>
    <x v="3"/>
    <s v="Printer"/>
    <s v="Charlie"/>
    <n v="3"/>
    <n v="1391"/>
    <x v="1"/>
    <n v="4173"/>
    <n v="2825.6446686896811"/>
    <n v="1347.3553313103189"/>
  </r>
  <r>
    <d v="2024-06-18T00:00:00"/>
    <x v="3"/>
    <s v="Laptop"/>
    <s v="Bob"/>
    <n v="5"/>
    <n v="695"/>
    <x v="2"/>
    <n v="3475"/>
    <n v="2689.9859413655572"/>
    <n v="785.01405863444324"/>
  </r>
  <r>
    <d v="2024-01-09T00:00:00"/>
    <x v="3"/>
    <s v="Headphones"/>
    <s v="Grace"/>
    <n v="17"/>
    <n v="1139"/>
    <x v="0"/>
    <n v="19363"/>
    <n v="13588.832940025981"/>
    <n v="5774.1670599740173"/>
  </r>
  <r>
    <d v="2024-02-09T00:00:00"/>
    <x v="2"/>
    <s v="Printer"/>
    <s v="Charlie"/>
    <n v="10"/>
    <n v="1457"/>
    <x v="1"/>
    <n v="14570"/>
    <n v="11057.61797157573"/>
    <n v="3512.3820284242702"/>
  </r>
  <r>
    <d v="2024-01-25T00:00:00"/>
    <x v="3"/>
    <s v="Monitor"/>
    <s v="Eva"/>
    <n v="10"/>
    <n v="1587"/>
    <x v="1"/>
    <n v="15870"/>
    <n v="12697.20145219643"/>
    <n v="3172.7985478035698"/>
  </r>
  <r>
    <d v="2024-09-17T00:00:00"/>
    <x v="1"/>
    <s v="Tablet"/>
    <s v="David"/>
    <n v="11"/>
    <n v="1182"/>
    <x v="2"/>
    <n v="13002"/>
    <n v="9168.0582836258509"/>
    <n v="3833.9417163741491"/>
  </r>
  <r>
    <d v="2024-08-13T00:00:00"/>
    <x v="0"/>
    <s v="Camera"/>
    <s v="Alice"/>
    <n v="17"/>
    <n v="1112"/>
    <x v="2"/>
    <n v="18904"/>
    <n v="16982.311322962541"/>
    <n v="1921.688677037459"/>
  </r>
  <r>
    <d v="2024-05-03T00:00:00"/>
    <x v="2"/>
    <s v="Laptop"/>
    <s v="David"/>
    <n v="5"/>
    <n v="276"/>
    <x v="2"/>
    <n v="1380"/>
    <n v="1061.402932149871"/>
    <n v="318.59706785012872"/>
  </r>
  <r>
    <d v="2024-02-07T00:00:00"/>
    <x v="3"/>
    <s v="Printer"/>
    <s v="Hannah"/>
    <n v="13"/>
    <n v="162"/>
    <x v="1"/>
    <n v="2106"/>
    <n v="1784.4948130349189"/>
    <n v="321.50518696508112"/>
  </r>
  <r>
    <d v="2024-11-23T00:00:00"/>
    <x v="0"/>
    <s v="Camera"/>
    <s v="Charlie"/>
    <n v="10"/>
    <n v="1057"/>
    <x v="2"/>
    <n v="10570"/>
    <n v="8641.4037918501199"/>
    <n v="1928.5962081498801"/>
  </r>
  <r>
    <d v="2024-09-07T00:00:00"/>
    <x v="4"/>
    <s v="Laptop"/>
    <s v="Hannah"/>
    <n v="9"/>
    <n v="1102"/>
    <x v="2"/>
    <n v="9918"/>
    <n v="8488.2369303917512"/>
    <n v="1429.763069608249"/>
  </r>
  <r>
    <d v="2024-06-24T00:00:00"/>
    <x v="3"/>
    <m/>
    <s v="Grace"/>
    <n v="17"/>
    <n v="660"/>
    <x v="0"/>
    <n v="11220"/>
    <n v="7317.0140129768197"/>
    <n v="3902.9859870231799"/>
  </r>
  <r>
    <d v="2024-03-30T00:00:00"/>
    <x v="2"/>
    <s v="Printer"/>
    <s v="Charlie"/>
    <n v="1"/>
    <n v="1430"/>
    <x v="1"/>
    <n v="1430"/>
    <n v="953.47554147317078"/>
    <n v="476.52445852682922"/>
  </r>
  <r>
    <d v="2024-02-06T00:00:00"/>
    <x v="0"/>
    <s v="Smartwatch"/>
    <s v="David"/>
    <n v="4"/>
    <n v="1369"/>
    <x v="0"/>
    <n v="5476"/>
    <n v="4086.3190830381691"/>
    <n v="1389.6809169618309"/>
  </r>
  <r>
    <d v="2024-11-11T00:00:00"/>
    <x v="1"/>
    <s v="Printer"/>
    <s v="Grace"/>
    <n v="4"/>
    <n v="1412"/>
    <x v="1"/>
    <n v="5648"/>
    <n v="4832.9857094369336"/>
    <n v="815.01429056306642"/>
  </r>
  <r>
    <d v="2024-06-24T00:00:00"/>
    <x v="1"/>
    <s v="Smartwatch"/>
    <s v="Grace"/>
    <n v="18"/>
    <n v="1921"/>
    <x v="0"/>
    <n v="34578"/>
    <n v="22796.65211139993"/>
    <n v="11781.34788860007"/>
  </r>
  <r>
    <d v="2024-10-10T00:00:00"/>
    <x v="4"/>
    <s v="Monitor"/>
    <s v="Grace"/>
    <n v="9"/>
    <m/>
    <x v="1"/>
    <m/>
    <m/>
    <m/>
  </r>
  <r>
    <d v="2024-03-21T00:00:00"/>
    <x v="2"/>
    <s v="Camera"/>
    <s v="Frank"/>
    <n v="18"/>
    <n v="1455"/>
    <x v="2"/>
    <n v="26190"/>
    <n v="16716.571336432069"/>
    <n v="9473.4286635679346"/>
  </r>
  <r>
    <d v="2024-04-23T00:00:00"/>
    <x v="3"/>
    <s v="Headphones"/>
    <s v="Charlie"/>
    <n v="14"/>
    <n v="1650"/>
    <x v="0"/>
    <n v="23100"/>
    <n v="15073.29016010092"/>
    <n v="8026.7098398990802"/>
  </r>
  <r>
    <d v="2024-02-09T00:00:00"/>
    <x v="2"/>
    <s v="Printer"/>
    <s v="Bob"/>
    <n v="15"/>
    <n v="949"/>
    <x v="1"/>
    <n v="14235"/>
    <n v="9255.1718718648244"/>
    <n v="4979.8281281351756"/>
  </r>
  <r>
    <d v="2024-10-27T00:00:00"/>
    <x v="0"/>
    <s v="Monitor"/>
    <s v="Bob"/>
    <m/>
    <n v="1378"/>
    <x v="1"/>
    <m/>
    <m/>
    <m/>
  </r>
  <r>
    <d v="2024-08-11T00:00:00"/>
    <x v="2"/>
    <s v="Printer"/>
    <s v="Charlie"/>
    <n v="10"/>
    <n v="703"/>
    <x v="1"/>
    <n v="7030"/>
    <n v="6153.0941410873047"/>
    <n v="876.90585891269529"/>
  </r>
  <r>
    <d v="2024-11-13T00:00:00"/>
    <x v="1"/>
    <s v="Smartwatch"/>
    <s v="Charlie"/>
    <n v="15"/>
    <n v="1633"/>
    <x v="0"/>
    <n v="24495"/>
    <n v="16571.686028592569"/>
    <n v="7923.3139714074277"/>
  </r>
  <r>
    <d v="2024-12-14T00:00:00"/>
    <x v="2"/>
    <s v="Laptop"/>
    <s v="Frank"/>
    <n v="4"/>
    <n v="1914"/>
    <x v="2"/>
    <n v="7656"/>
    <n v="5863.8150450236226"/>
    <n v="1792.184954976377"/>
  </r>
  <r>
    <d v="2024-04-24T00:00:00"/>
    <x v="0"/>
    <s v="Printer"/>
    <s v="Bob"/>
    <n v="18"/>
    <n v="1841"/>
    <x v="1"/>
    <n v="33138"/>
    <n v="21630.224831385829"/>
    <n v="11507.775168614169"/>
  </r>
  <r>
    <d v="2024-07-04T00:00:00"/>
    <x v="1"/>
    <s v="Monitor"/>
    <s v="Charlie"/>
    <n v="18"/>
    <n v="705"/>
    <x v="1"/>
    <n v="12690"/>
    <n v="10016.73816386309"/>
    <n v="2673.2618361369109"/>
  </r>
  <r>
    <d v="2024-11-18T00:00:00"/>
    <x v="2"/>
    <s v="Smartwatch"/>
    <s v="Charlie"/>
    <n v="17"/>
    <n v="1860"/>
    <x v="0"/>
    <n v="31620"/>
    <n v="20141.114744998849"/>
    <n v="11478.885255001151"/>
  </r>
  <r>
    <d v="2024-02-25T00:00:00"/>
    <x v="2"/>
    <s v="Mobile"/>
    <s v="Hannah"/>
    <n v="12"/>
    <n v="1936"/>
    <x v="2"/>
    <n v="23232"/>
    <n v="17363.439525256501"/>
    <n v="5868.5604747435027"/>
  </r>
  <r>
    <d v="2024-02-09T00:00:00"/>
    <x v="1"/>
    <s v="Smartwatch"/>
    <s v="Frank"/>
    <n v="7"/>
    <n v="929"/>
    <x v="0"/>
    <n v="6503"/>
    <n v="5179.9942003022006"/>
    <n v="1323.0057996977989"/>
  </r>
  <r>
    <d v="2024-12-19T00:00:00"/>
    <x v="3"/>
    <s v="Camera"/>
    <s v="Frank"/>
    <n v="16"/>
    <n v="1586"/>
    <x v="2"/>
    <n v="25376"/>
    <n v="19634.385004676351"/>
    <n v="5741.6149953236527"/>
  </r>
  <r>
    <d v="2024-02-09T00:00:00"/>
    <x v="1"/>
    <s v="Headphones"/>
    <s v="David"/>
    <n v="11"/>
    <n v="1322"/>
    <x v="0"/>
    <n v="14542"/>
    <n v="9335.966105830259"/>
    <n v="5206.033894169741"/>
  </r>
  <r>
    <d v="2024-12-12T00:00:00"/>
    <x v="3"/>
    <s v="Mobile"/>
    <s v="Frank"/>
    <n v="14"/>
    <n v="1394"/>
    <x v="2"/>
    <n v="19516"/>
    <n v="12654.408815545021"/>
    <n v="6861.5911844549773"/>
  </r>
  <r>
    <d v="2024-08-24T00:00:00"/>
    <x v="0"/>
    <s v="Camera"/>
    <s v="Alice"/>
    <n v="3"/>
    <n v="845"/>
    <x v="2"/>
    <n v="2535"/>
    <n v="2031.592859169403"/>
    <n v="503.40714083059652"/>
  </r>
  <r>
    <d v="2024-10-15T00:00:00"/>
    <x v="0"/>
    <s v="Camera"/>
    <s v="Bob"/>
    <n v="19"/>
    <n v="657"/>
    <x v="2"/>
    <n v="12483"/>
    <n v="10519.0844229266"/>
    <n v="1963.915577073398"/>
  </r>
  <r>
    <d v="2024-09-18T00:00:00"/>
    <x v="1"/>
    <s v="Camera"/>
    <s v="David"/>
    <n v="18"/>
    <n v="163"/>
    <x v="2"/>
    <n v="2934"/>
    <n v="2559.687089106546"/>
    <n v="374.31291089345399"/>
  </r>
  <r>
    <d v="2024-08-03T00:00:00"/>
    <x v="1"/>
    <s v="Laptop"/>
    <s v="Alice"/>
    <n v="10"/>
    <n v="1353"/>
    <x v="2"/>
    <n v="13530"/>
    <n v="11420.449140789889"/>
    <n v="2109.5508592101119"/>
  </r>
  <r>
    <d v="2024-05-26T00:00:00"/>
    <x v="0"/>
    <s v="Camera"/>
    <s v="Charlie"/>
    <n v="6"/>
    <n v="1041"/>
    <x v="2"/>
    <n v="6246"/>
    <n v="5572.5385642588253"/>
    <n v="673.46143574117468"/>
  </r>
  <r>
    <d v="2024-12-01T00:00:00"/>
    <x v="3"/>
    <s v="Laptop"/>
    <s v="Hannah"/>
    <n v="13"/>
    <n v="348"/>
    <x v="2"/>
    <n v="4524"/>
    <n v="3268.479348612922"/>
    <n v="1255.520651387078"/>
  </r>
  <r>
    <d v="2024-06-16T00:00:00"/>
    <x v="0"/>
    <s v="Camera"/>
    <s v="Hannah"/>
    <n v="10"/>
    <n v="1369"/>
    <x v="2"/>
    <n v="13690"/>
    <n v="9574.0977525898943"/>
    <n v="4115.9022474101057"/>
  </r>
  <r>
    <d v="2024-04-01T00:00:00"/>
    <x v="1"/>
    <s v="Tablet"/>
    <s v="Charlie"/>
    <n v="18"/>
    <n v="1039"/>
    <x v="2"/>
    <n v="18702"/>
    <n v="11379.329444087511"/>
    <n v="7322.6705559124885"/>
  </r>
  <r>
    <d v="2024-12-18T00:00:00"/>
    <x v="0"/>
    <s v="Monitor"/>
    <s v="David"/>
    <n v="16"/>
    <n v="1710"/>
    <x v="1"/>
    <n v="27360"/>
    <n v="20108.745185950269"/>
    <n v="7251.2548140497274"/>
  </r>
  <r>
    <d v="2024-02-28T00:00:00"/>
    <x v="1"/>
    <s v="Mobile"/>
    <s v="Frank"/>
    <n v="6"/>
    <n v="256"/>
    <x v="2"/>
    <n v="1536"/>
    <n v="1221.752011352017"/>
    <n v="314.24798864798248"/>
  </r>
  <r>
    <d v="2024-02-28T00:00:00"/>
    <x v="1"/>
    <s v="Tablet"/>
    <s v="Grace"/>
    <n v="13"/>
    <n v="834"/>
    <x v="2"/>
    <n v="10842"/>
    <n v="9157.3981467654849"/>
    <n v="1684.6018532345149"/>
  </r>
  <r>
    <d v="2024-10-30T00:00:00"/>
    <x v="0"/>
    <s v="Camera"/>
    <s v="Hannah"/>
    <n v="4"/>
    <n v="1825"/>
    <x v="2"/>
    <n v="7300"/>
    <n v="4965.7272882758716"/>
    <n v="2334.2727117241279"/>
  </r>
  <r>
    <d v="2024-06-17T00:00:00"/>
    <x v="3"/>
    <s v="Mobile"/>
    <s v="Grace"/>
    <n v="14"/>
    <n v="1084"/>
    <x v="2"/>
    <n v="15176"/>
    <n v="11443.878363054109"/>
    <n v="3732.1216369458939"/>
  </r>
  <r>
    <d v="2024-09-25T00:00:00"/>
    <x v="2"/>
    <s v="Mobile"/>
    <s v="Charlie"/>
    <n v="1"/>
    <n v="1687"/>
    <x v="2"/>
    <n v="1687"/>
    <n v="1347.2430406511689"/>
    <n v="339.75695934883112"/>
  </r>
  <r>
    <d v="2024-12-28T00:00:00"/>
    <x v="0"/>
    <s v="Printer"/>
    <s v="Grace"/>
    <n v="5"/>
    <n v="1211"/>
    <x v="1"/>
    <n v="6055"/>
    <n v="4634.9866060601062"/>
    <n v="1420.0133939398941"/>
  </r>
  <r>
    <d v="2024-02-14T00:00:00"/>
    <x v="2"/>
    <s v="Headphones"/>
    <s v="Eva"/>
    <n v="8"/>
    <n v="1436"/>
    <x v="0"/>
    <n v="11488"/>
    <n v="7837.1850004556582"/>
    <n v="3650.8149995443418"/>
  </r>
  <r>
    <d v="2024-12-10T00:00:00"/>
    <x v="0"/>
    <s v="Tablet"/>
    <s v="David"/>
    <n v="12"/>
    <n v="1974"/>
    <x v="2"/>
    <n v="23688"/>
    <n v="19871.501519500031"/>
    <n v="3816.498480499969"/>
  </r>
  <r>
    <d v="2024-06-29T00:00:00"/>
    <x v="2"/>
    <s v="Headphones"/>
    <s v="Alice"/>
    <n v="2"/>
    <n v="1189"/>
    <x v="0"/>
    <n v="2378"/>
    <n v="1550.4757462974781"/>
    <n v="827.5242537025224"/>
  </r>
  <r>
    <d v="2024-06-18T00:00:00"/>
    <x v="3"/>
    <s v="Mobile"/>
    <s v="David"/>
    <n v="12"/>
    <n v="761"/>
    <x v="2"/>
    <n v="9132"/>
    <n v="7958.4827526411236"/>
    <n v="1173.5172473588759"/>
  </r>
  <r>
    <d v="2024-12-21T00:00:00"/>
    <x v="3"/>
    <s v="Laptop"/>
    <m/>
    <n v="5"/>
    <n v="1143"/>
    <x v="2"/>
    <n v="5715"/>
    <n v="5062.2271262544746"/>
    <n v="652.77287374552543"/>
  </r>
  <r>
    <d v="2024-07-09T00:00:00"/>
    <x v="0"/>
    <s v="Mobile"/>
    <s v="Frank"/>
    <n v="5"/>
    <n v="132"/>
    <x v="2"/>
    <n v="660"/>
    <n v="468.38350589090192"/>
    <n v="191.61649410909811"/>
  </r>
  <r>
    <d v="2024-06-03T00:00:00"/>
    <x v="1"/>
    <s v="Headphones"/>
    <s v="Frank"/>
    <n v="13"/>
    <n v="1963"/>
    <x v="0"/>
    <n v="25519"/>
    <n v="18191.334933423299"/>
    <n v="7327.6650665767011"/>
  </r>
  <r>
    <d v="2024-07-06T00:00:00"/>
    <x v="4"/>
    <s v="Tablet"/>
    <s v="David"/>
    <n v="9"/>
    <n v="1916"/>
    <x v="2"/>
    <n v="17244"/>
    <n v="14191.527089030429"/>
    <n v="3052.4729109695709"/>
  </r>
  <r>
    <d v="2024-01-07T00:00:00"/>
    <x v="1"/>
    <s v="Camera"/>
    <s v="Charlie"/>
    <n v="10"/>
    <n v="657"/>
    <x v="2"/>
    <n v="6570"/>
    <n v="4841.3448277459938"/>
    <n v="1728.6551722540059"/>
  </r>
  <r>
    <d v="2024-05-12T00:00:00"/>
    <x v="1"/>
    <s v="Printer"/>
    <s v="Charlie"/>
    <n v="1"/>
    <n v="172"/>
    <x v="1"/>
    <n v="172"/>
    <n v="104.6762834097205"/>
    <n v="67.323716590279474"/>
  </r>
  <r>
    <d v="2024-08-22T00:00:00"/>
    <x v="1"/>
    <s v="Printer"/>
    <s v="Eva"/>
    <n v="3"/>
    <n v="1989"/>
    <x v="1"/>
    <n v="5967"/>
    <n v="5226.8713302114493"/>
    <n v="740.12866978855072"/>
  </r>
  <r>
    <d v="2024-02-14T00:00:00"/>
    <x v="3"/>
    <s v="Printer"/>
    <s v="Eva"/>
    <n v="18"/>
    <n v="924"/>
    <x v="1"/>
    <n v="16632"/>
    <n v="12128.471906272371"/>
    <n v="4503.5280937276293"/>
  </r>
  <r>
    <d v="2024-11-09T00:00:00"/>
    <x v="0"/>
    <s v="Camera"/>
    <s v="Frank"/>
    <n v="12"/>
    <n v="1466"/>
    <x v="2"/>
    <n v="17592"/>
    <n v="11629.165742611551"/>
    <n v="5962.8342573884529"/>
  </r>
  <r>
    <d v="2024-09-05T00:00:00"/>
    <x v="0"/>
    <s v="Printer"/>
    <s v="Eva"/>
    <n v="3"/>
    <n v="1256"/>
    <x v="1"/>
    <n v="3768"/>
    <n v="2888.9226682873882"/>
    <n v="879.07733171261225"/>
  </r>
  <r>
    <d v="2024-01-31T00:00:00"/>
    <x v="3"/>
    <s v="Tablet"/>
    <s v="Hannah"/>
    <n v="9"/>
    <n v="1178"/>
    <x v="2"/>
    <n v="10602"/>
    <n v="7057.4529407379414"/>
    <n v="3544.5470592620591"/>
  </r>
  <r>
    <d v="2024-01-23T00:00:00"/>
    <x v="3"/>
    <m/>
    <s v="Hannah"/>
    <n v="2"/>
    <n v="160"/>
    <x v="2"/>
    <n v="320"/>
    <n v="211.77811196943429"/>
    <n v="108.22188803056569"/>
  </r>
  <r>
    <d v="2024-06-08T00:00:00"/>
    <x v="0"/>
    <s v="Printer"/>
    <s v="Alice"/>
    <n v="3"/>
    <n v="1980"/>
    <x v="1"/>
    <n v="5940"/>
    <n v="4536.4932254101077"/>
    <n v="1403.5067745898921"/>
  </r>
  <r>
    <d v="2024-12-28T00:00:00"/>
    <x v="1"/>
    <s v="Camera"/>
    <s v="Eva"/>
    <n v="14"/>
    <n v="1643"/>
    <x v="2"/>
    <n v="23002"/>
    <n v="16499.626441482651"/>
    <n v="6502.373558517349"/>
  </r>
  <r>
    <d v="2024-06-06T00:00:00"/>
    <x v="2"/>
    <s v="Headphones"/>
    <s v="Alice"/>
    <n v="4"/>
    <n v="371"/>
    <x v="0"/>
    <n v="1484"/>
    <n v="1145.4966074783349"/>
    <n v="338.50339252166532"/>
  </r>
  <r>
    <d v="2024-02-08T00:00:00"/>
    <x v="2"/>
    <s v="Monitor"/>
    <s v="Eva"/>
    <n v="19"/>
    <n v="345"/>
    <x v="1"/>
    <n v="6555"/>
    <n v="5893.2572214893044"/>
    <n v="661.74277851069564"/>
  </r>
  <r>
    <d v="2024-03-22T00:00:00"/>
    <x v="2"/>
    <s v="Monitor"/>
    <s v="Frank"/>
    <n v="13"/>
    <n v="1299"/>
    <x v="1"/>
    <n v="16887"/>
    <n v="14484.07187185775"/>
    <n v="2402.92812814225"/>
  </r>
  <r>
    <d v="2024-12-21T00:00:00"/>
    <x v="1"/>
    <s v="Tablet"/>
    <s v="Frank"/>
    <n v="7"/>
    <n v="727"/>
    <x v="2"/>
    <n v="5089"/>
    <n v="3065.1110092757199"/>
    <n v="2023.8889907242799"/>
  </r>
  <r>
    <d v="2024-09-14T00:00:00"/>
    <x v="0"/>
    <s v="Smartwatch"/>
    <s v="Alice"/>
    <n v="12"/>
    <m/>
    <x v="0"/>
    <m/>
    <m/>
    <m/>
  </r>
  <r>
    <d v="2024-07-24T00:00:00"/>
    <x v="3"/>
    <s v="Laptop"/>
    <s v="David"/>
    <n v="3"/>
    <n v="1906"/>
    <x v="2"/>
    <n v="5718"/>
    <n v="4477.3302716011376"/>
    <n v="1240.6697283988619"/>
  </r>
  <r>
    <d v="2024-03-17T00:00:00"/>
    <x v="0"/>
    <s v="Printer"/>
    <s v="Frank"/>
    <n v="9"/>
    <n v="804"/>
    <x v="1"/>
    <n v="7236"/>
    <n v="5701.0767009219926"/>
    <n v="1534.9232990780069"/>
  </r>
  <r>
    <d v="2024-01-12T00:00:00"/>
    <x v="1"/>
    <s v="Laptop"/>
    <s v="David"/>
    <n v="2"/>
    <n v="761"/>
    <x v="2"/>
    <n v="1522"/>
    <n v="1314.181939405099"/>
    <n v="207.81806059490151"/>
  </r>
  <r>
    <d v="2024-10-21T00:00:00"/>
    <x v="3"/>
    <s v="Camera"/>
    <s v="Charlie"/>
    <n v="9"/>
    <n v="1254"/>
    <x v="2"/>
    <n v="11286"/>
    <n v="8901.4617814959984"/>
    <n v="2384.5382185040021"/>
  </r>
  <r>
    <d v="2024-08-11T00:00:00"/>
    <x v="1"/>
    <s v="Laptop"/>
    <s v="Hannah"/>
    <n v="12"/>
    <n v="1225"/>
    <x v="2"/>
    <n v="14700"/>
    <n v="9824.2211148544229"/>
    <n v="4875.7788851455771"/>
  </r>
  <r>
    <d v="2024-01-13T00:00:00"/>
    <x v="0"/>
    <s v="Tablet"/>
    <s v="Alice"/>
    <n v="12"/>
    <n v="409"/>
    <x v="2"/>
    <n v="4908"/>
    <n v="3634.6432936708561"/>
    <n v="1273.3567063291439"/>
  </r>
  <r>
    <d v="2024-02-15T00:00:00"/>
    <x v="2"/>
    <s v="Tablet"/>
    <s v="Grace"/>
    <n v="15"/>
    <n v="1905"/>
    <x v="2"/>
    <n v="28575"/>
    <n v="24080.027347253759"/>
    <n v="4494.9726527462371"/>
  </r>
  <r>
    <d v="2024-06-03T00:00:00"/>
    <x v="1"/>
    <s v="Mobile"/>
    <s v="Frank"/>
    <n v="2"/>
    <n v="1415"/>
    <x v="2"/>
    <n v="2830"/>
    <n v="2481.478394944018"/>
    <n v="348.52160505598249"/>
  </r>
  <r>
    <d v="2024-04-22T00:00:00"/>
    <x v="3"/>
    <s v="Monitor"/>
    <s v="Bob"/>
    <n v="18"/>
    <n v="1845"/>
    <x v="1"/>
    <n v="33210"/>
    <n v="22286.385330265319"/>
    <n v="10923.614669734679"/>
  </r>
  <r>
    <d v="2024-08-20T00:00:00"/>
    <x v="3"/>
    <s v="Printer"/>
    <s v="Charlie"/>
    <n v="13"/>
    <n v="594"/>
    <x v="1"/>
    <n v="7722"/>
    <n v="5883.2483291318704"/>
    <n v="1838.7516708681301"/>
  </r>
  <r>
    <d v="2024-01-17T00:00:00"/>
    <x v="0"/>
    <s v="Mobile"/>
    <s v="David"/>
    <n v="14"/>
    <n v="1484"/>
    <x v="2"/>
    <n v="20776"/>
    <n v="13456.16363470209"/>
    <n v="7319.8363652979133"/>
  </r>
  <r>
    <d v="2024-12-25T00:00:00"/>
    <x v="2"/>
    <s v="Laptop"/>
    <s v="Frank"/>
    <n v="5"/>
    <n v="437"/>
    <x v="2"/>
    <n v="2185"/>
    <n v="1636.7833026470221"/>
    <n v="548.21669735297837"/>
  </r>
  <r>
    <d v="2024-08-10T00:00:00"/>
    <x v="0"/>
    <s v="Smartwatch"/>
    <s v="Alice"/>
    <n v="10"/>
    <n v="678"/>
    <x v="0"/>
    <n v="6780"/>
    <n v="4251.2921216044851"/>
    <n v="2528.7078783955149"/>
  </r>
  <r>
    <d v="2024-12-19T00:00:00"/>
    <x v="0"/>
    <s v="Mobile"/>
    <s v="Grace"/>
    <n v="12"/>
    <n v="109"/>
    <x v="2"/>
    <n v="1308"/>
    <n v="1154.334094648566"/>
    <n v="153.66590535143399"/>
  </r>
  <r>
    <d v="2024-07-06T00:00:00"/>
    <x v="1"/>
    <s v="Mobile"/>
    <s v="Eva"/>
    <n v="10"/>
    <n v="148"/>
    <x v="2"/>
    <n v="1480"/>
    <n v="1171.2970674774811"/>
    <n v="308.70293252251872"/>
  </r>
  <r>
    <d v="2024-12-09T00:00:00"/>
    <x v="1"/>
    <s v="Tablet"/>
    <s v="Grace"/>
    <n v="11"/>
    <n v="1610"/>
    <x v="2"/>
    <n v="17710"/>
    <n v="15164.453548724759"/>
    <n v="2545.5464512752351"/>
  </r>
  <r>
    <d v="2024-12-30T00:00:00"/>
    <x v="0"/>
    <s v="Smartwatch"/>
    <s v="Bob"/>
    <n v="2"/>
    <n v="722"/>
    <x v="0"/>
    <n v="1444"/>
    <n v="1298.861469455602"/>
    <n v="145.13853054439821"/>
  </r>
  <r>
    <d v="2024-06-11T00:00:00"/>
    <x v="2"/>
    <s v="Camera"/>
    <s v="David"/>
    <n v="5"/>
    <n v="1444"/>
    <x v="2"/>
    <n v="7220"/>
    <n v="4727.6545445318498"/>
    <n v="2492.3454554681498"/>
  </r>
  <r>
    <d v="2024-11-21T00:00:00"/>
    <x v="4"/>
    <s v="Laptop"/>
    <s v="Charlie"/>
    <n v="7"/>
    <n v="830"/>
    <x v="2"/>
    <n v="5810"/>
    <n v="4695.8919722746678"/>
    <n v="1114.108027725332"/>
  </r>
  <r>
    <d v="2024-03-14T00:00:00"/>
    <x v="0"/>
    <s v="Mobile"/>
    <s v="Grace"/>
    <n v="6"/>
    <n v="1692"/>
    <x v="2"/>
    <n v="10152"/>
    <n v="8792.6054555044884"/>
    <n v="1359.394544495512"/>
  </r>
  <r>
    <d v="2024-08-20T00:00:00"/>
    <x v="0"/>
    <s v="Smartwatch"/>
    <s v="Alice"/>
    <n v="3"/>
    <n v="894"/>
    <x v="0"/>
    <n v="2682"/>
    <n v="2072.599849499526"/>
    <n v="609.4001505004735"/>
  </r>
  <r>
    <d v="2024-08-11T00:00:00"/>
    <x v="0"/>
    <s v="Monitor"/>
    <s v="Bob"/>
    <n v="13"/>
    <n v="1070"/>
    <x v="1"/>
    <n v="13910"/>
    <n v="11015.452986923659"/>
    <n v="2894.547013076341"/>
  </r>
  <r>
    <d v="2024-11-14T00:00:00"/>
    <x v="0"/>
    <s v="Printer"/>
    <s v="Alice"/>
    <n v="3"/>
    <n v="1748"/>
    <x v="1"/>
    <n v="5244"/>
    <n v="3787.7481580283611"/>
    <n v="1456.2518419716389"/>
  </r>
  <r>
    <d v="2024-02-29T00:00:00"/>
    <x v="0"/>
    <s v="Smartwatch"/>
    <s v="Frank"/>
    <n v="6"/>
    <n v="232"/>
    <x v="0"/>
    <n v="1392"/>
    <n v="1116.980124160016"/>
    <n v="275.0198758399838"/>
  </r>
  <r>
    <d v="2024-11-30T00:00:00"/>
    <x v="0"/>
    <s v="Monitor"/>
    <s v="Eva"/>
    <n v="11"/>
    <n v="1706"/>
    <x v="1"/>
    <n v="18766"/>
    <n v="13486.624544156241"/>
    <n v="5279.3754558437613"/>
  </r>
  <r>
    <d v="2024-08-09T00:00:00"/>
    <x v="1"/>
    <s v="Laptop"/>
    <s v="Charlie"/>
    <n v="17"/>
    <n v="182"/>
    <x v="2"/>
    <n v="3094"/>
    <n v="2298.7983481321739"/>
    <n v="795.2016518678256"/>
  </r>
  <r>
    <d v="2024-02-06T00:00:00"/>
    <x v="2"/>
    <s v="Smartwatch"/>
    <s v="Alice"/>
    <n v="10"/>
    <n v="156"/>
    <x v="0"/>
    <n v="1560"/>
    <n v="984.16269554748214"/>
    <n v="575.83730445251786"/>
  </r>
  <r>
    <d v="2024-10-04T00:00:00"/>
    <x v="0"/>
    <s v="Monitor"/>
    <s v="David"/>
    <n v="12"/>
    <n v="475"/>
    <x v="1"/>
    <n v="5700"/>
    <n v="3433.3523643084532"/>
    <n v="2266.6476356915468"/>
  </r>
  <r>
    <d v="2024-07-14T00:00:00"/>
    <x v="3"/>
    <s v="Smartwatch"/>
    <s v="Frank"/>
    <n v="17"/>
    <n v="448"/>
    <x v="0"/>
    <n v="7616"/>
    <n v="4695.6092884326654"/>
    <n v="2920.3907115673351"/>
  </r>
  <r>
    <d v="2024-12-17T00:00:00"/>
    <x v="1"/>
    <s v="Smartwatch"/>
    <s v="Frank"/>
    <n v="4"/>
    <n v="370"/>
    <x v="0"/>
    <n v="1480"/>
    <n v="973.47960857629516"/>
    <n v="506.52039142370478"/>
  </r>
  <r>
    <d v="2024-08-29T00:00:00"/>
    <x v="1"/>
    <s v="Printer"/>
    <s v="Charlie"/>
    <n v="2"/>
    <n v="1606"/>
    <x v="1"/>
    <n v="3212"/>
    <n v="2367.1834405618051"/>
    <n v="844.81655943819487"/>
  </r>
  <r>
    <d v="2024-11-19T00:00:00"/>
    <x v="0"/>
    <s v="Monitor"/>
    <s v="Frank"/>
    <n v="11"/>
    <n v="210"/>
    <x v="1"/>
    <n v="2310"/>
    <n v="1400.548891100058"/>
    <n v="909.45110889994248"/>
  </r>
  <r>
    <d v="2024-08-06T00:00:00"/>
    <x v="1"/>
    <s v="Monitor"/>
    <s v="David"/>
    <n v="7"/>
    <n v="968"/>
    <x v="1"/>
    <n v="6776"/>
    <n v="4382.5880000727229"/>
    <n v="2393.4119999272771"/>
  </r>
  <r>
    <d v="2024-07-10T00:00:00"/>
    <x v="0"/>
    <s v="Mobile"/>
    <s v="Alice"/>
    <n v="2"/>
    <n v="986"/>
    <x v="2"/>
    <n v="1972"/>
    <n v="1645.502627658034"/>
    <n v="326.49737234196601"/>
  </r>
  <r>
    <d v="2024-01-17T00:00:00"/>
    <x v="2"/>
    <s v="Laptop"/>
    <s v="Charlie"/>
    <n v="18"/>
    <n v="175"/>
    <x v="2"/>
    <n v="3150"/>
    <n v="2610.247397557634"/>
    <n v="539.75260244236551"/>
  </r>
  <r>
    <d v="2024-01-12T00:00:00"/>
    <x v="2"/>
    <s v="Printer"/>
    <s v="Hannah"/>
    <n v="4"/>
    <n v="1281"/>
    <x v="1"/>
    <n v="5124"/>
    <n v="4288.3734043635786"/>
    <n v="835.62659563642137"/>
  </r>
  <r>
    <d v="2024-07-11T00:00:00"/>
    <x v="1"/>
    <s v="Smartwatch"/>
    <s v="Frank"/>
    <n v="8"/>
    <n v="1655"/>
    <x v="0"/>
    <n v="13240"/>
    <n v="11604.360626377589"/>
    <n v="1635.6393736224129"/>
  </r>
  <r>
    <d v="2024-01-22T00:00:00"/>
    <x v="1"/>
    <s v="Smartwatch"/>
    <s v="Frank"/>
    <n v="14"/>
    <n v="1766"/>
    <x v="0"/>
    <n v="24724"/>
    <n v="15717.573426648079"/>
    <n v="9006.4265733519242"/>
  </r>
  <r>
    <d v="2024-04-29T00:00:00"/>
    <x v="3"/>
    <s v="Mobile"/>
    <s v="David"/>
    <n v="12"/>
    <n v="428"/>
    <x v="2"/>
    <n v="5136"/>
    <n v="3332.9659212919219"/>
    <n v="1803.0340787080779"/>
  </r>
  <r>
    <d v="2024-07-28T00:00:00"/>
    <x v="1"/>
    <s v="Laptop"/>
    <s v="Eva"/>
    <n v="18"/>
    <n v="221"/>
    <x v="2"/>
    <n v="3978"/>
    <n v="2784.8628836652092"/>
    <n v="1193.137116334791"/>
  </r>
  <r>
    <d v="2024-11-01T00:00:00"/>
    <x v="3"/>
    <s v="Tablet"/>
    <s v="Eva"/>
    <m/>
    <n v="140"/>
    <x v="2"/>
    <m/>
    <m/>
    <m/>
  </r>
  <r>
    <d v="2024-09-26T00:00:00"/>
    <x v="2"/>
    <s v="Printer"/>
    <s v="Grace"/>
    <n v="8"/>
    <n v="1290"/>
    <x v="1"/>
    <n v="10320"/>
    <n v="8592.8790923464057"/>
    <n v="1727.120907653594"/>
  </r>
  <r>
    <d v="2024-07-10T00:00:00"/>
    <x v="2"/>
    <s v="Mobile"/>
    <s v="Frank"/>
    <n v="2"/>
    <n v="1021"/>
    <x v="2"/>
    <n v="2042"/>
    <n v="1423.756691430779"/>
    <n v="618.24330856922097"/>
  </r>
  <r>
    <d v="2024-06-23T00:00:00"/>
    <x v="0"/>
    <s v="Laptop"/>
    <s v="Hannah"/>
    <n v="15"/>
    <n v="741"/>
    <x v="2"/>
    <n v="11115"/>
    <n v="6961.2216343965292"/>
    <n v="4153.7783656034708"/>
  </r>
  <r>
    <d v="2024-10-11T00:00:00"/>
    <x v="2"/>
    <s v="Printer"/>
    <s v="Alice"/>
    <n v="9"/>
    <n v="1146"/>
    <x v="1"/>
    <n v="10314"/>
    <n v="8095.6030769097224"/>
    <n v="2218.3969230902781"/>
  </r>
  <r>
    <d v="2024-07-22T00:00:00"/>
    <x v="3"/>
    <s v="Smartwatch"/>
    <s v="Charlie"/>
    <n v="19"/>
    <n v="378"/>
    <x v="0"/>
    <n v="7182"/>
    <n v="4862.5425746448591"/>
    <n v="2319.4574253551409"/>
  </r>
  <r>
    <d v="2024-06-12T00:00:00"/>
    <x v="1"/>
    <s v="Laptop"/>
    <s v="Frank"/>
    <n v="8"/>
    <n v="862"/>
    <x v="2"/>
    <n v="6896"/>
    <n v="5236.4484284757427"/>
    <n v="1659.551571524257"/>
  </r>
  <r>
    <d v="2024-09-07T00:00:00"/>
    <x v="0"/>
    <s v="Laptop"/>
    <s v="Bob"/>
    <n v="19"/>
    <n v="568"/>
    <x v="2"/>
    <n v="10792"/>
    <n v="9524.382557044124"/>
    <n v="1267.617442955876"/>
  </r>
  <r>
    <d v="2024-08-14T00:00:00"/>
    <x v="3"/>
    <s v="Camera"/>
    <s v="Charlie"/>
    <n v="5"/>
    <n v="1523"/>
    <x v="2"/>
    <n v="7615"/>
    <n v="5877.1440969205969"/>
    <n v="1737.8559030794031"/>
  </r>
  <r>
    <d v="2024-01-07T00:00:00"/>
    <x v="4"/>
    <m/>
    <s v="Grace"/>
    <n v="11"/>
    <n v="108"/>
    <x v="2"/>
    <n v="1188"/>
    <n v="1042.0545931412869"/>
    <n v="145.94540685871311"/>
  </r>
  <r>
    <d v="2024-01-29T00:00:00"/>
    <x v="0"/>
    <s v="Tablet"/>
    <s v="Eva"/>
    <n v="15"/>
    <n v="112"/>
    <x v="2"/>
    <n v="1680"/>
    <n v="1206.091548141417"/>
    <n v="473.90845185858279"/>
  </r>
  <r>
    <d v="2024-02-02T00:00:00"/>
    <x v="2"/>
    <s v="Laptop"/>
    <s v="Hannah"/>
    <n v="8"/>
    <n v="1023"/>
    <x v="2"/>
    <n v="8184"/>
    <n v="6465.4042033113901"/>
    <n v="1718.5957966886101"/>
  </r>
  <r>
    <d v="2024-05-13T00:00:00"/>
    <x v="3"/>
    <s v="Tablet"/>
    <s v="Frank"/>
    <n v="19"/>
    <n v="1022"/>
    <x v="2"/>
    <n v="19418"/>
    <n v="16858.06665423065"/>
    <n v="2559.9333457693542"/>
  </r>
  <r>
    <d v="2024-03-19T00:00:00"/>
    <x v="4"/>
    <s v="Smartwatch"/>
    <s v="David"/>
    <n v="8"/>
    <n v="1942"/>
    <x v="0"/>
    <n v="15536"/>
    <n v="12062.091261947869"/>
    <n v="3473.9087380521291"/>
  </r>
  <r>
    <d v="2024-02-27T00:00:00"/>
    <x v="0"/>
    <s v="Tablet"/>
    <s v="Bob"/>
    <n v="19"/>
    <n v="1955"/>
    <x v="2"/>
    <n v="37145"/>
    <n v="29139.123407451541"/>
    <n v="8005.8765925484622"/>
  </r>
  <r>
    <d v="2024-01-26T00:00:00"/>
    <x v="0"/>
    <s v="Printer"/>
    <s v="Frank"/>
    <n v="18"/>
    <n v="1175"/>
    <x v="1"/>
    <n v="21150"/>
    <n v="17234.974146305369"/>
    <n v="3915.0258536946312"/>
  </r>
  <r>
    <d v="2024-08-13T00:00:00"/>
    <x v="2"/>
    <s v="Smartwatch"/>
    <s v="Hannah"/>
    <n v="10"/>
    <n v="1332"/>
    <x v="0"/>
    <n v="13320"/>
    <n v="11516.90259772426"/>
    <n v="1803.09740227574"/>
  </r>
  <r>
    <d v="2024-10-11T00:00:00"/>
    <x v="1"/>
    <s v="Smartwatch"/>
    <s v="Grace"/>
    <n v="7"/>
    <n v="1673"/>
    <x v="0"/>
    <n v="11711"/>
    <n v="7336.4030091574887"/>
    <n v="4374.5969908425113"/>
  </r>
  <r>
    <d v="2024-01-04T00:00:00"/>
    <x v="2"/>
    <s v="Tablet"/>
    <s v="Alice"/>
    <n v="9"/>
    <n v="1735"/>
    <x v="2"/>
    <n v="15615"/>
    <n v="10947.017775803881"/>
    <n v="4667.982224196121"/>
  </r>
  <r>
    <d v="2024-04-08T00:00:00"/>
    <x v="2"/>
    <s v="Monitor"/>
    <s v="Bob"/>
    <n v="1"/>
    <n v="1828"/>
    <x v="1"/>
    <n v="1828"/>
    <n v="1314.890303782603"/>
    <n v="513.10969621739696"/>
  </r>
  <r>
    <d v="2024-02-08T00:00:00"/>
    <x v="1"/>
    <s v="Mobile"/>
    <s v="Grace"/>
    <n v="19"/>
    <n v="1525"/>
    <x v="2"/>
    <n v="28975"/>
    <n v="25292.651266395431"/>
    <n v="3682.3487336045732"/>
  </r>
  <r>
    <d v="2024-09-27T00:00:00"/>
    <x v="1"/>
    <m/>
    <s v="Frank"/>
    <n v="5"/>
    <n v="1314"/>
    <x v="0"/>
    <n v="6570"/>
    <n v="5826.2916192214334"/>
    <n v="743.70838077856661"/>
  </r>
  <r>
    <d v="2024-10-11T00:00:00"/>
    <x v="4"/>
    <s v="Monitor"/>
    <m/>
    <n v="19"/>
    <n v="1174"/>
    <x v="1"/>
    <n v="22306"/>
    <n v="14189.16199344608"/>
    <n v="8116.8380065539186"/>
  </r>
  <r>
    <d v="2024-06-05T00:00:00"/>
    <x v="3"/>
    <s v="Laptop"/>
    <s v="Bob"/>
    <n v="1"/>
    <n v="1516"/>
    <x v="2"/>
    <n v="1516"/>
    <n v="963.77017276793754"/>
    <n v="552.22982723206246"/>
  </r>
  <r>
    <d v="2024-03-15T00:00:00"/>
    <x v="1"/>
    <s v="Camera"/>
    <s v="Alice"/>
    <m/>
    <n v="752"/>
    <x v="2"/>
    <m/>
    <m/>
    <m/>
  </r>
  <r>
    <d v="2024-10-14T00:00:00"/>
    <x v="0"/>
    <s v="Headphones"/>
    <s v="Alice"/>
    <n v="16"/>
    <n v="1803"/>
    <x v="0"/>
    <n v="28848"/>
    <n v="19868.52834332551"/>
    <n v="8979.4716566744901"/>
  </r>
  <r>
    <d v="2024-05-09T00:00:00"/>
    <x v="2"/>
    <s v="Laptop"/>
    <s v="Bob"/>
    <m/>
    <n v="1946"/>
    <x v="2"/>
    <m/>
    <m/>
    <m/>
  </r>
  <r>
    <d v="2024-06-23T00:00:00"/>
    <x v="3"/>
    <s v="Monitor"/>
    <s v="Bob"/>
    <n v="12"/>
    <n v="720"/>
    <x v="1"/>
    <n v="8640"/>
    <n v="5276.3344680346236"/>
    <n v="3363.665531965376"/>
  </r>
  <r>
    <d v="2024-03-24T00:00:00"/>
    <x v="1"/>
    <s v="Monitor"/>
    <s v="Alice"/>
    <n v="8"/>
    <n v="1842"/>
    <x v="1"/>
    <n v="14736"/>
    <n v="10059.954508434081"/>
    <n v="4676.0454915659157"/>
  </r>
  <r>
    <d v="2024-01-22T00:00:00"/>
    <x v="3"/>
    <s v="Laptop"/>
    <s v="Grace"/>
    <n v="5"/>
    <n v="1423"/>
    <x v="2"/>
    <n v="7115"/>
    <n v="5749.3321589138714"/>
    <n v="1365.6678410861291"/>
  </r>
  <r>
    <d v="2024-01-27T00:00:00"/>
    <x v="1"/>
    <s v="Smartwatch"/>
    <s v="Hannah"/>
    <n v="10"/>
    <n v="1745"/>
    <x v="0"/>
    <n v="17450"/>
    <n v="12700.29931194161"/>
    <n v="4749.700688058394"/>
  </r>
  <r>
    <d v="2024-07-13T00:00:00"/>
    <x v="4"/>
    <s v="Laptop"/>
    <s v="Eva"/>
    <n v="5"/>
    <n v="295"/>
    <x v="2"/>
    <n v="1475"/>
    <n v="1113.7151306059041"/>
    <n v="361.28486939409618"/>
  </r>
  <r>
    <d v="2024-12-02T00:00:00"/>
    <x v="2"/>
    <s v="Camera"/>
    <s v="Bob"/>
    <n v="17"/>
    <n v="516"/>
    <x v="2"/>
    <n v="8772"/>
    <n v="7677.155092051732"/>
    <n v="1094.844907948268"/>
  </r>
  <r>
    <d v="2024-08-23T00:00:00"/>
    <x v="2"/>
    <s v="Monitor"/>
    <s v="Frank"/>
    <n v="5"/>
    <n v="763"/>
    <x v="1"/>
    <n v="3815"/>
    <n v="2420.2624562673209"/>
    <n v="1394.7375437326789"/>
  </r>
  <r>
    <d v="2024-04-01T00:00:00"/>
    <x v="0"/>
    <s v="Laptop"/>
    <s v="Charlie"/>
    <n v="15"/>
    <n v="1543"/>
    <x v="2"/>
    <n v="23145"/>
    <n v="14381.65990628699"/>
    <n v="8763.3400937130136"/>
  </r>
  <r>
    <d v="2024-01-21T00:00:00"/>
    <x v="0"/>
    <s v="Tablet"/>
    <s v="David"/>
    <n v="13"/>
    <n v="1878"/>
    <x v="2"/>
    <n v="24414"/>
    <n v="20888.111192733231"/>
    <n v="3525.8888072667719"/>
  </r>
  <r>
    <d v="2024-10-29T00:00:00"/>
    <x v="1"/>
    <s v="Headphones"/>
    <s v="Alice"/>
    <n v="1"/>
    <n v="1763"/>
    <x v="0"/>
    <n v="1763"/>
    <n v="1467.621231261101"/>
    <n v="295.37876873889951"/>
  </r>
  <r>
    <d v="2024-12-22T00:00:00"/>
    <x v="2"/>
    <s v="Tablet"/>
    <s v="Alice"/>
    <n v="11"/>
    <n v="1740"/>
    <x v="2"/>
    <n v="19140"/>
    <n v="12998.361701438371"/>
    <n v="6141.6382985616256"/>
  </r>
  <r>
    <d v="2024-03-24T00:00:00"/>
    <x v="3"/>
    <s v="Camera"/>
    <s v="David"/>
    <n v="1"/>
    <n v="1645"/>
    <x v="2"/>
    <n v="1645"/>
    <n v="1147.0095413656099"/>
    <n v="497.99045863439011"/>
  </r>
  <r>
    <d v="2024-09-18T00:00:00"/>
    <x v="3"/>
    <m/>
    <s v="Eva"/>
    <n v="11"/>
    <n v="1479"/>
    <x v="2"/>
    <n v="16269"/>
    <n v="11275.773033070271"/>
    <n v="4993.2269669297348"/>
  </r>
  <r>
    <d v="2024-05-26T00:00:00"/>
    <x v="3"/>
    <s v="Printer"/>
    <s v="David"/>
    <n v="18"/>
    <n v="247"/>
    <x v="1"/>
    <n v="4446"/>
    <n v="3531.6473748016251"/>
    <n v="914.35262519837488"/>
  </r>
  <r>
    <d v="2024-09-13T00:00:00"/>
    <x v="0"/>
    <s v="Camera"/>
    <s v="Bob"/>
    <n v="18"/>
    <n v="1100"/>
    <x v="2"/>
    <n v="19800"/>
    <n v="12243.596351514539"/>
    <n v="7556.4036484854641"/>
  </r>
  <r>
    <d v="2024-02-27T00:00:00"/>
    <x v="3"/>
    <s v="Smartwatch"/>
    <s v="David"/>
    <n v="16"/>
    <n v="1488"/>
    <x v="0"/>
    <n v="23808"/>
    <n v="17780.30188258765"/>
    <n v="6027.6981174123539"/>
  </r>
  <r>
    <d v="2024-01-15T00:00:00"/>
    <x v="0"/>
    <s v="Tablet"/>
    <s v="Alice"/>
    <n v="13"/>
    <m/>
    <x v="2"/>
    <m/>
    <m/>
    <m/>
  </r>
  <r>
    <d v="2024-06-10T00:00:00"/>
    <x v="0"/>
    <s v="Tablet"/>
    <s v="David"/>
    <n v="7"/>
    <n v="1775"/>
    <x v="2"/>
    <n v="12425"/>
    <n v="10510.575411302591"/>
    <n v="1914.4245886974111"/>
  </r>
  <r>
    <d v="2024-06-11T00:00:00"/>
    <x v="1"/>
    <s v="Mobile"/>
    <s v="Charlie"/>
    <n v="1"/>
    <m/>
    <x v="2"/>
    <m/>
    <m/>
    <m/>
  </r>
  <r>
    <d v="2024-11-15T00:00:00"/>
    <x v="3"/>
    <s v="Laptop"/>
    <s v="Frank"/>
    <n v="16"/>
    <n v="501"/>
    <x v="2"/>
    <n v="8016"/>
    <n v="6078.305610254155"/>
    <n v="1937.694389745845"/>
  </r>
  <r>
    <d v="2024-10-07T00:00:00"/>
    <x v="3"/>
    <s v="Smartwatch"/>
    <s v="Bob"/>
    <n v="1"/>
    <n v="705"/>
    <x v="0"/>
    <n v="705"/>
    <n v="429.20067425671323"/>
    <n v="275.79932574328677"/>
  </r>
  <r>
    <d v="2024-10-06T00:00:00"/>
    <x v="2"/>
    <s v="Printer"/>
    <s v="David"/>
    <n v="17"/>
    <n v="1615"/>
    <x v="1"/>
    <n v="27455"/>
    <n v="16952.894018480882"/>
    <n v="10502.10598151912"/>
  </r>
  <r>
    <d v="2024-01-12T00:00:00"/>
    <x v="1"/>
    <s v="Tablet"/>
    <s v="Alice"/>
    <n v="6"/>
    <m/>
    <x v="2"/>
    <m/>
    <m/>
    <m/>
  </r>
  <r>
    <d v="2024-09-30T00:00:00"/>
    <x v="2"/>
    <s v="Tablet"/>
    <s v="Grace"/>
    <n v="2"/>
    <n v="1698"/>
    <x v="2"/>
    <n v="3396"/>
    <n v="2818.7858313899892"/>
    <n v="577.2141686100108"/>
  </r>
  <r>
    <d v="2024-09-27T00:00:00"/>
    <x v="1"/>
    <s v="Smartwatch"/>
    <s v="Frank"/>
    <n v="17"/>
    <n v="1975"/>
    <x v="0"/>
    <n v="33575"/>
    <n v="27296.833425905668"/>
    <n v="6278.1665740943281"/>
  </r>
  <r>
    <d v="2024-07-26T00:00:00"/>
    <x v="3"/>
    <s v="Camera"/>
    <s v="Bob"/>
    <n v="6"/>
    <n v="636"/>
    <x v="2"/>
    <n v="3816"/>
    <n v="3133.3389350169591"/>
    <n v="682.66106498304134"/>
  </r>
  <r>
    <d v="2024-01-27T00:00:00"/>
    <x v="0"/>
    <s v="Camera"/>
    <s v="Alice"/>
    <n v="14"/>
    <n v="367"/>
    <x v="2"/>
    <n v="5138"/>
    <n v="3244.0610376367349"/>
    <n v="1893.9389623632651"/>
  </r>
  <r>
    <d v="2024-03-12T00:00:00"/>
    <x v="0"/>
    <s v="Laptop"/>
    <s v="Eva"/>
    <n v="18"/>
    <n v="1528"/>
    <x v="2"/>
    <n v="27504"/>
    <n v="22224.201580064029"/>
    <n v="5279.7984199359707"/>
  </r>
  <r>
    <d v="2024-02-29T00:00:00"/>
    <x v="0"/>
    <s v="Monitor"/>
    <s v="Charlie"/>
    <n v="6"/>
    <n v="1916"/>
    <x v="1"/>
    <n v="11496"/>
    <n v="7524.4110631781459"/>
    <n v="3971.5889368218541"/>
  </r>
  <r>
    <d v="2024-05-24T00:00:00"/>
    <x v="0"/>
    <s v="Mobile"/>
    <s v="Hannah"/>
    <n v="10"/>
    <n v="1134"/>
    <x v="2"/>
    <n v="11340"/>
    <n v="7137.4484992448233"/>
    <n v="4202.5515007551767"/>
  </r>
  <r>
    <d v="2024-04-02T00:00:00"/>
    <x v="0"/>
    <s v="Tablet"/>
    <s v="Eva"/>
    <n v="18"/>
    <n v="1443"/>
    <x v="2"/>
    <n v="25974"/>
    <n v="21484.348623070211"/>
    <n v="4489.6513769297853"/>
  </r>
  <r>
    <d v="2024-11-04T00:00:00"/>
    <x v="2"/>
    <s v="Monitor"/>
    <s v="Hannah"/>
    <n v="9"/>
    <n v="1836"/>
    <x v="1"/>
    <n v="16524"/>
    <n v="14323.36400369588"/>
    <n v="2200.6359963041209"/>
  </r>
  <r>
    <d v="2024-01-08T00:00:00"/>
    <x v="1"/>
    <s v="Monitor"/>
    <s v="Charlie"/>
    <n v="8"/>
    <n v="225"/>
    <x v="1"/>
    <n v="1800"/>
    <n v="1467.023349998786"/>
    <n v="332.97665000121452"/>
  </r>
  <r>
    <d v="2024-03-19T00:00:00"/>
    <x v="3"/>
    <s v="Mobile"/>
    <s v="David"/>
    <n v="10"/>
    <n v="405"/>
    <x v="2"/>
    <n v="4050"/>
    <n v="3408.771745169925"/>
    <n v="641.22825483007455"/>
  </r>
  <r>
    <d v="2024-01-27T00:00:00"/>
    <x v="2"/>
    <s v="Monitor"/>
    <s v="Bob"/>
    <n v="17"/>
    <n v="1825"/>
    <x v="1"/>
    <n v="31025"/>
    <n v="27839.553003794441"/>
    <n v="3185.4469962055591"/>
  </r>
  <r>
    <d v="2024-06-22T00:00:00"/>
    <x v="1"/>
    <s v="Monitor"/>
    <s v="David"/>
    <n v="6"/>
    <n v="1634"/>
    <x v="1"/>
    <n v="9804"/>
    <n v="6278.7440866293409"/>
    <n v="3525.2559133706591"/>
  </r>
  <r>
    <d v="2024-02-19T00:00:00"/>
    <x v="0"/>
    <s v="Camera"/>
    <s v="Charlie"/>
    <n v="14"/>
    <n v="1212"/>
    <x v="2"/>
    <n v="16968"/>
    <n v="15093.812552905139"/>
    <n v="1874.1874470948619"/>
  </r>
  <r>
    <d v="2024-07-17T00:00:00"/>
    <x v="1"/>
    <s v="Camera"/>
    <s v="Charlie"/>
    <n v="6"/>
    <n v="1478"/>
    <x v="2"/>
    <n v="8868"/>
    <n v="6920.2266417258679"/>
    <n v="1947.7733582741321"/>
  </r>
  <r>
    <d v="2024-12-14T00:00:00"/>
    <x v="1"/>
    <s v="Headphones"/>
    <s v="Charlie"/>
    <n v="7"/>
    <n v="727"/>
    <x v="0"/>
    <n v="5089"/>
    <n v="4294.9935953186432"/>
    <n v="794.0064046813568"/>
  </r>
  <r>
    <d v="2024-06-29T00:00:00"/>
    <x v="0"/>
    <s v="Printer"/>
    <s v="Hannah"/>
    <n v="12"/>
    <n v="1475"/>
    <x v="1"/>
    <n v="17700"/>
    <n v="14072.39835423053"/>
    <n v="3627.6016457694709"/>
  </r>
  <r>
    <d v="2024-01-24T00:00:00"/>
    <x v="0"/>
    <s v="Laptop"/>
    <s v="Frank"/>
    <n v="3"/>
    <n v="788"/>
    <x v="2"/>
    <n v="2364"/>
    <n v="1822.6707998065699"/>
    <n v="541.32920019343032"/>
  </r>
  <r>
    <d v="2024-11-11T00:00:00"/>
    <x v="0"/>
    <s v="Monitor"/>
    <s v="Alice"/>
    <n v="14"/>
    <n v="1137"/>
    <x v="1"/>
    <n v="15918"/>
    <n v="12910.862144051171"/>
    <n v="3007.137855948833"/>
  </r>
  <r>
    <d v="2024-02-15T00:00:00"/>
    <x v="3"/>
    <s v="Headphones"/>
    <s v="Bob"/>
    <n v="19"/>
    <n v="1380"/>
    <x v="0"/>
    <n v="26220"/>
    <n v="18251.154655059119"/>
    <n v="7968.8453449408771"/>
  </r>
  <r>
    <d v="2024-01-15T00:00:00"/>
    <x v="0"/>
    <s v="Printer"/>
    <s v="David"/>
    <n v="16"/>
    <n v="1332"/>
    <x v="1"/>
    <n v="21312"/>
    <n v="18696.622412597892"/>
    <n v="2615.377587402108"/>
  </r>
  <r>
    <d v="2024-06-01T00:00:00"/>
    <x v="3"/>
    <s v="Headphones"/>
    <s v="David"/>
    <n v="7"/>
    <n v="380"/>
    <x v="0"/>
    <n v="2660"/>
    <n v="1688.003472500511"/>
    <n v="971.99652749948859"/>
  </r>
  <r>
    <d v="2024-08-09T00:00:00"/>
    <x v="0"/>
    <s v="Headphones"/>
    <s v="Eva"/>
    <n v="8"/>
    <n v="542"/>
    <x v="0"/>
    <n v="4336"/>
    <n v="3015.29496425967"/>
    <n v="1320.70503574033"/>
  </r>
  <r>
    <d v="2024-07-24T00:00:00"/>
    <x v="3"/>
    <s v="Laptop"/>
    <s v="Hannah"/>
    <n v="18"/>
    <n v="1963"/>
    <x v="2"/>
    <n v="35334"/>
    <n v="21530.72717639598"/>
    <n v="13803.27282360402"/>
  </r>
  <r>
    <d v="2024-09-29T00:00:00"/>
    <x v="1"/>
    <s v="Laptop"/>
    <m/>
    <n v="13"/>
    <n v="936"/>
    <x v="2"/>
    <n v="12168"/>
    <n v="8291.237653127293"/>
    <n v="3876.762346872707"/>
  </r>
  <r>
    <d v="2024-08-23T00:00:00"/>
    <x v="2"/>
    <s v="Smartwatch"/>
    <s v="Grace"/>
    <n v="9"/>
    <n v="488"/>
    <x v="0"/>
    <n v="4392"/>
    <n v="2922.717550441515"/>
    <n v="1469.282449558485"/>
  </r>
  <r>
    <d v="2024-12-05T00:00:00"/>
    <x v="1"/>
    <s v="Mobile"/>
    <s v="Charlie"/>
    <n v="10"/>
    <n v="716"/>
    <x v="2"/>
    <n v="7160"/>
    <n v="4402.6070887376991"/>
    <n v="2757.3929112623009"/>
  </r>
  <r>
    <d v="2024-08-15T00:00:00"/>
    <x v="1"/>
    <s v="Mobile"/>
    <s v="Charlie"/>
    <n v="9"/>
    <n v="1606"/>
    <x v="2"/>
    <n v="14454"/>
    <n v="10804.83069566039"/>
    <n v="3649.1693043396058"/>
  </r>
  <r>
    <d v="2024-01-09T00:00:00"/>
    <x v="0"/>
    <s v="Smartwatch"/>
    <s v="Grace"/>
    <n v="15"/>
    <n v="246"/>
    <x v="0"/>
    <n v="3690"/>
    <n v="2732.7800983341599"/>
    <n v="957.2199016658401"/>
  </r>
  <r>
    <d v="2024-06-14T00:00:00"/>
    <x v="3"/>
    <s v="Laptop"/>
    <s v="David"/>
    <n v="2"/>
    <n v="1402"/>
    <x v="0"/>
    <n v="2804"/>
    <n v="1747.7994674075601"/>
    <n v="1056.2005325924399"/>
  </r>
  <r>
    <d v="2024-11-14T00:00:00"/>
    <x v="2"/>
    <s v="Camera"/>
    <s v="Eva"/>
    <n v="13"/>
    <n v="620"/>
    <x v="2"/>
    <n v="8060"/>
    <n v="5469.1545849455451"/>
    <n v="2590.8454150544549"/>
  </r>
  <r>
    <d v="2024-08-01T00:00:00"/>
    <x v="0"/>
    <s v="Printer"/>
    <s v="Alice"/>
    <n v="2"/>
    <n v="729"/>
    <x v="1"/>
    <n v="1458"/>
    <n v="1291.7831129879839"/>
    <n v="166.2168870120158"/>
  </r>
  <r>
    <d v="2024-04-26T00:00:00"/>
    <x v="0"/>
    <s v="Headphones"/>
    <s v="Grace"/>
    <n v="19"/>
    <n v="1729"/>
    <x v="0"/>
    <n v="32851"/>
    <n v="20801.942655537539"/>
    <n v="12049.057344462461"/>
  </r>
  <r>
    <d v="2024-12-09T00:00:00"/>
    <x v="0"/>
    <s v="Monitor"/>
    <s v="Hannah"/>
    <n v="2"/>
    <n v="533"/>
    <x v="1"/>
    <n v="1066"/>
    <n v="737.1449639052579"/>
    <n v="328.8550360947421"/>
  </r>
  <r>
    <d v="2024-03-12T00:00:00"/>
    <x v="1"/>
    <s v="Smartwatch"/>
    <s v="Frank"/>
    <n v="3"/>
    <n v="243"/>
    <x v="0"/>
    <n v="729"/>
    <n v="445.24310654203379"/>
    <n v="283.75689345796621"/>
  </r>
  <r>
    <d v="2024-03-04T00:00:00"/>
    <x v="3"/>
    <s v="Tablet"/>
    <s v="Bob"/>
    <n v="6"/>
    <n v="388"/>
    <x v="2"/>
    <n v="2328"/>
    <n v="1500.7828223124391"/>
    <n v="827.21717768756139"/>
  </r>
  <r>
    <d v="2024-07-23T00:00:00"/>
    <x v="3"/>
    <s v="Mobile"/>
    <s v="Hannah"/>
    <n v="3"/>
    <n v="1509"/>
    <x v="2"/>
    <n v="4527"/>
    <n v="3666.0512116492891"/>
    <n v="860.94878835071086"/>
  </r>
  <r>
    <d v="2024-07-27T00:00:00"/>
    <x v="2"/>
    <s v="Smartwatch"/>
    <s v="Grace"/>
    <n v="10"/>
    <n v="113"/>
    <x v="0"/>
    <n v="1130"/>
    <n v="802.31689372473625"/>
    <n v="327.68310627526381"/>
  </r>
  <r>
    <d v="2024-03-12T00:00:00"/>
    <x v="3"/>
    <m/>
    <s v="Alice"/>
    <n v="6"/>
    <n v="356"/>
    <x v="2"/>
    <n v="2136"/>
    <n v="1571.29066649118"/>
    <n v="564.70933350881978"/>
  </r>
  <r>
    <d v="2024-10-03T00:00:00"/>
    <x v="3"/>
    <s v="Tablet"/>
    <s v="David"/>
    <n v="16"/>
    <n v="1469"/>
    <x v="2"/>
    <n v="23504"/>
    <n v="15209.28605974528"/>
    <n v="8294.7139402547182"/>
  </r>
  <r>
    <d v="2024-09-30T00:00:00"/>
    <x v="0"/>
    <s v="Tablet"/>
    <s v="Frank"/>
    <n v="17"/>
    <n v="1821"/>
    <x v="2"/>
    <n v="30957"/>
    <n v="24909.303999658801"/>
    <n v="6047.696000341195"/>
  </r>
  <r>
    <d v="2024-11-15T00:00:00"/>
    <x v="0"/>
    <s v="Camera"/>
    <s v="Frank"/>
    <n v="19"/>
    <n v="1468"/>
    <x v="2"/>
    <n v="27892"/>
    <n v="23023.632124188371"/>
    <n v="4868.3678758116257"/>
  </r>
  <r>
    <d v="2024-12-03T00:00:00"/>
    <x v="1"/>
    <s v="Camera"/>
    <m/>
    <n v="3"/>
    <n v="1523"/>
    <x v="2"/>
    <n v="4569"/>
    <n v="2989.6502862725952"/>
    <n v="1579.3497137274051"/>
  </r>
  <r>
    <d v="2024-12-31T00:00:00"/>
    <x v="0"/>
    <s v="Monitor"/>
    <s v="Charlie"/>
    <n v="18"/>
    <n v="1330"/>
    <x v="1"/>
    <n v="23940"/>
    <n v="14687.143055718419"/>
    <n v="9252.8569442815751"/>
  </r>
  <r>
    <d v="2024-04-04T00:00:00"/>
    <x v="0"/>
    <s v="Monitor"/>
    <s v="Bob"/>
    <n v="7"/>
    <n v="957"/>
    <x v="1"/>
    <n v="6699"/>
    <n v="4182.0673976208354"/>
    <n v="2516.932602379165"/>
  </r>
  <r>
    <d v="2024-06-14T00:00:00"/>
    <x v="0"/>
    <s v="Tablet"/>
    <s v="David"/>
    <n v="9"/>
    <n v="1042"/>
    <x v="2"/>
    <n v="9378"/>
    <n v="7475.3325333149714"/>
    <n v="1902.667466685029"/>
  </r>
  <r>
    <d v="2024-02-01T00:00:00"/>
    <x v="0"/>
    <s v="Printer"/>
    <s v="David"/>
    <n v="12"/>
    <n v="1295"/>
    <x v="1"/>
    <n v="15540"/>
    <n v="9955.7504288309392"/>
    <n v="5584.2495711690608"/>
  </r>
  <r>
    <d v="2024-01-11T00:00:00"/>
    <x v="1"/>
    <s v="Camera"/>
    <s v="Frank"/>
    <n v="5"/>
    <n v="563"/>
    <x v="2"/>
    <n v="2815"/>
    <n v="2106.1144554555822"/>
    <n v="708.88554454441828"/>
  </r>
  <r>
    <d v="2024-10-27T00:00:00"/>
    <x v="0"/>
    <s v="Headphones"/>
    <s v="David"/>
    <n v="3"/>
    <n v="369"/>
    <x v="0"/>
    <n v="1107"/>
    <n v="714.89225242058103"/>
    <n v="392.10774757941903"/>
  </r>
  <r>
    <d v="2024-08-04T00:00:00"/>
    <x v="2"/>
    <s v="Tablet"/>
    <s v="Bob"/>
    <n v="11"/>
    <n v="1344"/>
    <x v="2"/>
    <n v="14784"/>
    <n v="9625.0406233998783"/>
    <n v="5158.9593766001217"/>
  </r>
  <r>
    <d v="2024-10-15T00:00:00"/>
    <x v="2"/>
    <s v="Headphones"/>
    <s v="Bob"/>
    <n v="4"/>
    <n v="1275"/>
    <x v="0"/>
    <n v="5100"/>
    <n v="3066.671570112524"/>
    <n v="2033.328429887476"/>
  </r>
  <r>
    <d v="2024-04-11T00:00:00"/>
    <x v="2"/>
    <s v="Headphones"/>
    <s v="Eva"/>
    <n v="5"/>
    <n v="722"/>
    <x v="0"/>
    <n v="3610"/>
    <n v="2513.4526690946341"/>
    <n v="1096.5473309053659"/>
  </r>
  <r>
    <d v="2024-09-23T00:00:00"/>
    <x v="2"/>
    <s v="Tablet"/>
    <s v="Grace"/>
    <n v="1"/>
    <n v="1306"/>
    <x v="2"/>
    <n v="1306"/>
    <n v="818.78256884734662"/>
    <n v="487.21743115265338"/>
  </r>
  <r>
    <d v="2024-08-01T00:00:00"/>
    <x v="0"/>
    <s v="MOBLIE"/>
    <s v="Grace"/>
    <n v="18"/>
    <n v="1522"/>
    <x v="2"/>
    <n v="27396"/>
    <n v="19675.488929767889"/>
    <n v="7720.5110702321144"/>
  </r>
  <r>
    <d v="2024-06-27T00:00:00"/>
    <x v="2"/>
    <s v="Printer"/>
    <s v="Eva"/>
    <n v="12"/>
    <n v="1974"/>
    <x v="1"/>
    <n v="23688"/>
    <n v="18460.894417866399"/>
    <n v="5227.1055821336013"/>
  </r>
  <r>
    <d v="2024-03-28T00:00:00"/>
    <x v="0"/>
    <s v="Tablet"/>
    <s v="Alice"/>
    <n v="13"/>
    <n v="171"/>
    <x v="2"/>
    <n v="2223"/>
    <n v="1578.9070560732609"/>
    <n v="644.09294392673883"/>
  </r>
  <r>
    <d v="2024-02-10T00:00:00"/>
    <x v="1"/>
    <s v="Monitor"/>
    <m/>
    <n v="9"/>
    <n v="1541"/>
    <x v="1"/>
    <n v="13869"/>
    <n v="11255.033141416579"/>
    <n v="2613.9668585834211"/>
  </r>
  <r>
    <d v="2024-03-16T00:00:00"/>
    <x v="2"/>
    <s v="Tablet"/>
    <s v="Bob"/>
    <n v="2"/>
    <n v="1406"/>
    <x v="2"/>
    <n v="2812"/>
    <n v="2312.688711518002"/>
    <n v="499.31128848199751"/>
  </r>
  <r>
    <d v="2024-02-15T00:00:00"/>
    <x v="3"/>
    <s v="Camera"/>
    <s v="Bob"/>
    <n v="5"/>
    <n v="173"/>
    <x v="2"/>
    <n v="865"/>
    <n v="699.76935752013071"/>
    <n v="165.23064247986929"/>
  </r>
  <r>
    <d v="2024-06-08T00:00:00"/>
    <x v="2"/>
    <s v="Tablet"/>
    <s v="Grace"/>
    <n v="13"/>
    <n v="454"/>
    <x v="2"/>
    <n v="5902"/>
    <n v="5199.745028683531"/>
    <n v="702.25497131646898"/>
  </r>
  <r>
    <d v="2024-03-20T00:00:00"/>
    <x v="2"/>
    <m/>
    <s v="Bob"/>
    <n v="16"/>
    <n v="1850"/>
    <x v="2"/>
    <n v="29600"/>
    <n v="19867.173179716941"/>
    <n v="9732.8268202830586"/>
  </r>
  <r>
    <d v="2024-11-05T00:00:00"/>
    <x v="0"/>
    <s v="Camera"/>
    <s v="Eva"/>
    <n v="16"/>
    <n v="596"/>
    <x v="2"/>
    <n v="9536"/>
    <n v="6263.5970210713249"/>
    <n v="3272.4029789286751"/>
  </r>
  <r>
    <d v="2024-03-26T00:00:00"/>
    <x v="2"/>
    <s v="Monitor"/>
    <s v="Frank"/>
    <n v="3"/>
    <n v="1451"/>
    <x v="1"/>
    <n v="4353"/>
    <n v="3408.0222338009539"/>
    <n v="944.97776619904562"/>
  </r>
  <r>
    <d v="2024-04-01T00:00:00"/>
    <x v="3"/>
    <s v="Laptop"/>
    <s v="Frank"/>
    <m/>
    <n v="1087"/>
    <x v="2"/>
    <m/>
    <m/>
    <m/>
  </r>
  <r>
    <d v="2024-05-27T00:00:00"/>
    <x v="0"/>
    <s v="Laptop"/>
    <s v="David"/>
    <n v="11"/>
    <n v="1658"/>
    <x v="2"/>
    <n v="18238"/>
    <n v="13733.752022868341"/>
    <n v="4504.2479771316612"/>
  </r>
  <r>
    <d v="2024-06-09T00:00:00"/>
    <x v="0"/>
    <s v="Headphones"/>
    <s v="Hannah"/>
    <n v="14"/>
    <n v="679"/>
    <x v="0"/>
    <n v="9506"/>
    <n v="5716.0144315033431"/>
    <n v="3789.9855684966569"/>
  </r>
  <r>
    <d v="2024-07-20T00:00:00"/>
    <x v="1"/>
    <s v="Printer"/>
    <s v="Hannah"/>
    <n v="3"/>
    <n v="1009"/>
    <x v="1"/>
    <n v="3027"/>
    <n v="2320.4118365776371"/>
    <n v="706.58816342236287"/>
  </r>
  <r>
    <d v="2024-08-29T00:00:00"/>
    <x v="1"/>
    <s v="Headphones"/>
    <s v="Frank"/>
    <n v="16"/>
    <n v="1570"/>
    <x v="0"/>
    <n v="25120"/>
    <n v="22101.56615659477"/>
    <n v="3018.4338434052302"/>
  </r>
  <r>
    <d v="2024-12-18T00:00:00"/>
    <x v="2"/>
    <s v="Mobile"/>
    <s v="Charlie"/>
    <n v="15"/>
    <n v="472"/>
    <x v="2"/>
    <n v="7080"/>
    <n v="4958.643011675721"/>
    <n v="2121.356988324279"/>
  </r>
  <r>
    <d v="2024-01-02T00:00:00"/>
    <x v="1"/>
    <s v="Smartwatch"/>
    <s v="Eva"/>
    <n v="10"/>
    <n v="461"/>
    <x v="0"/>
    <n v="4610"/>
    <n v="4104.189684361907"/>
    <n v="505.81031563809302"/>
  </r>
  <r>
    <d v="2024-08-12T00:00:00"/>
    <x v="1"/>
    <s v="Monitor"/>
    <s v="Bob"/>
    <n v="9"/>
    <n v="192"/>
    <x v="1"/>
    <n v="1728"/>
    <n v="1221.7426624960849"/>
    <n v="506.25733750391532"/>
  </r>
  <r>
    <d v="2024-10-15T00:00:00"/>
    <x v="1"/>
    <s v="Printer"/>
    <s v="Grace"/>
    <n v="11"/>
    <n v="1444"/>
    <x v="1"/>
    <n v="15884"/>
    <n v="10196.8346753979"/>
    <n v="5687.165324602096"/>
  </r>
  <r>
    <d v="2024-08-20T00:00:00"/>
    <x v="0"/>
    <s v="Monitor"/>
    <s v="Frank"/>
    <n v="16"/>
    <n v="423"/>
    <x v="1"/>
    <n v="6768"/>
    <n v="4869.718293668062"/>
    <n v="1898.281706331938"/>
  </r>
  <r>
    <d v="2024-03-17T00:00:00"/>
    <x v="0"/>
    <s v="Laptop"/>
    <s v="Eva"/>
    <n v="10"/>
    <n v="483"/>
    <x v="2"/>
    <n v="4830"/>
    <n v="3614.6917924262152"/>
    <n v="1215.308207573785"/>
  </r>
  <r>
    <d v="2024-04-25T00:00:00"/>
    <x v="0"/>
    <s v="Headphones"/>
    <s v="Frank"/>
    <n v="17"/>
    <n v="674"/>
    <x v="0"/>
    <n v="11458"/>
    <n v="9038.5209635410138"/>
    <n v="2419.4790364589858"/>
  </r>
  <r>
    <d v="2024-06-02T00:00:00"/>
    <x v="1"/>
    <s v="Monitor"/>
    <s v="Alice"/>
    <n v="19"/>
    <n v="835"/>
    <x v="1"/>
    <n v="15865"/>
    <n v="11921.967612145299"/>
    <n v="3943.032387854701"/>
  </r>
  <r>
    <d v="2024-04-12T00:00:00"/>
    <x v="0"/>
    <s v="Laptop"/>
    <s v="Bob"/>
    <n v="2"/>
    <n v="836"/>
    <x v="2"/>
    <n v="1672"/>
    <n v="1272.418063506959"/>
    <n v="399.58193649304098"/>
  </r>
  <r>
    <d v="2024-07-12T00:00:00"/>
    <x v="1"/>
    <s v="Mobile"/>
    <s v="Alice"/>
    <n v="2"/>
    <n v="445"/>
    <x v="2"/>
    <n v="890"/>
    <n v="540.42589924148058"/>
    <n v="349.57410075851942"/>
  </r>
  <r>
    <d v="2024-06-14T00:00:00"/>
    <x v="0"/>
    <s v="Mobile"/>
    <s v="Bob"/>
    <n v="6"/>
    <n v="1972"/>
    <x v="2"/>
    <n v="11832"/>
    <n v="7999.4501523580084"/>
    <n v="3832.5498476419921"/>
  </r>
  <r>
    <d v="2024-12-24T00:00:00"/>
    <x v="0"/>
    <s v="Smartwatch"/>
    <s v="Eva"/>
    <n v="19"/>
    <n v="1226"/>
    <x v="0"/>
    <n v="23294"/>
    <n v="16147.610385010519"/>
    <n v="7146.389614989479"/>
  </r>
  <r>
    <d v="2024-03-30T00:00:00"/>
    <x v="3"/>
    <s v="Monitor"/>
    <s v="David"/>
    <n v="8"/>
    <n v="1338"/>
    <x v="1"/>
    <n v="10704"/>
    <n v="9592.1387128449096"/>
    <n v="1111.8612871550899"/>
  </r>
  <r>
    <d v="2024-06-22T00:00:00"/>
    <x v="2"/>
    <s v="Smartwatch"/>
    <s v="Frank"/>
    <n v="3"/>
    <n v="1315"/>
    <x v="0"/>
    <n v="3945"/>
    <n v="2716.8044184994042"/>
    <n v="1228.1955815005961"/>
  </r>
  <r>
    <d v="2024-05-01T00:00:00"/>
    <x v="1"/>
    <s v="Camera"/>
    <s v="Frank"/>
    <n v="14"/>
    <n v="1795"/>
    <x v="2"/>
    <n v="25130"/>
    <n v="21837.30794128629"/>
    <n v="3292.6920587137138"/>
  </r>
  <r>
    <d v="2024-05-22T00:00:00"/>
    <x v="3"/>
    <s v="Printer"/>
    <s v="Charlie"/>
    <n v="16"/>
    <n v="818"/>
    <x v="1"/>
    <n v="13088"/>
    <n v="9049.3162178044913"/>
    <n v="4038.6837821955091"/>
  </r>
  <r>
    <d v="2024-04-15T00:00:00"/>
    <x v="0"/>
    <s v="Monitor"/>
    <s v="Grace"/>
    <n v="1"/>
    <n v="880"/>
    <x v="1"/>
    <n v="880"/>
    <n v="553.37312739519132"/>
    <n v="326.62687260480868"/>
  </r>
  <r>
    <d v="2024-10-31T00:00:00"/>
    <x v="1"/>
    <s v="Mobile"/>
    <s v="Alice"/>
    <n v="3"/>
    <n v="1119"/>
    <x v="2"/>
    <n v="3357"/>
    <n v="2263.5754825942772"/>
    <n v="1093.424517405723"/>
  </r>
  <r>
    <d v="2024-12-25T00:00:00"/>
    <x v="0"/>
    <s v="Headphones"/>
    <s v="Frank"/>
    <n v="18"/>
    <m/>
    <x v="0"/>
    <m/>
    <m/>
    <m/>
  </r>
  <r>
    <d v="2024-11-12T00:00:00"/>
    <x v="2"/>
    <s v="Laptop"/>
    <s v="Eva"/>
    <n v="9"/>
    <n v="1503"/>
    <x v="2"/>
    <n v="13527"/>
    <n v="12086.03061886089"/>
    <n v="1440.969381139113"/>
  </r>
  <r>
    <d v="2024-05-02T00:00:00"/>
    <x v="3"/>
    <s v="Tablet"/>
    <s v="David"/>
    <n v="6"/>
    <n v="1526"/>
    <x v="2"/>
    <n v="9156"/>
    <n v="7345.7439074920867"/>
    <n v="1810.2560925079131"/>
  </r>
  <r>
    <d v="2024-01-09T00:00:00"/>
    <x v="2"/>
    <s v="Smartwatch"/>
    <s v="Grace"/>
    <n v="1"/>
    <n v="763"/>
    <x v="0"/>
    <n v="763"/>
    <n v="671.0617798976391"/>
    <n v="91.938220102360901"/>
  </r>
  <r>
    <d v="2024-09-18T00:00:00"/>
    <x v="3"/>
    <s v="Tablet"/>
    <s v="Eva"/>
    <n v="10"/>
    <n v="1872"/>
    <x v="2"/>
    <n v="18720"/>
    <n v="15921.33204470228"/>
    <n v="2798.6679552977198"/>
  </r>
  <r>
    <d v="2024-03-13T00:00:00"/>
    <x v="0"/>
    <s v="Monitor"/>
    <s v="Alice"/>
    <n v="6"/>
    <n v="699"/>
    <x v="1"/>
    <n v="4194"/>
    <n v="3244.3926209711822"/>
    <n v="949.60737902881783"/>
  </r>
  <r>
    <d v="2024-12-24T00:00:00"/>
    <x v="2"/>
    <s v="Headphones"/>
    <s v="Charlie"/>
    <n v="12"/>
    <n v="110"/>
    <x v="0"/>
    <n v="1320"/>
    <n v="1059.4536180012431"/>
    <n v="260.54638199875689"/>
  </r>
  <r>
    <d v="2024-08-10T00:00:00"/>
    <x v="2"/>
    <s v="Smartwatch"/>
    <s v="Frank"/>
    <m/>
    <n v="286"/>
    <x v="0"/>
    <m/>
    <m/>
    <m/>
  </r>
  <r>
    <d v="2024-02-10T00:00:00"/>
    <x v="0"/>
    <s v="Tablet"/>
    <s v="Eva"/>
    <n v="13"/>
    <n v="825"/>
    <x v="2"/>
    <n v="10725"/>
    <n v="8578.7012867720732"/>
    <n v="2146.2987132279268"/>
  </r>
  <r>
    <d v="2024-07-22T00:00:00"/>
    <x v="2"/>
    <s v="Printer"/>
    <s v="Grace"/>
    <n v="17"/>
    <n v="1138"/>
    <x v="1"/>
    <n v="19346"/>
    <n v="13144.293394763779"/>
    <n v="6201.7066052362152"/>
  </r>
  <r>
    <d v="2024-09-20T00:00:00"/>
    <x v="1"/>
    <s v="Headphones"/>
    <s v="Bob"/>
    <n v="8"/>
    <n v="877"/>
    <x v="0"/>
    <n v="7016"/>
    <n v="5068.6217824808664"/>
    <n v="1947.3782175191341"/>
  </r>
  <r>
    <d v="2024-11-23T00:00:00"/>
    <x v="3"/>
    <s v="Laptop"/>
    <s v="David"/>
    <n v="3"/>
    <n v="1420"/>
    <x v="2"/>
    <n v="4260"/>
    <n v="3313.363007222431"/>
    <n v="946.63699277756905"/>
  </r>
  <r>
    <d v="2024-06-26T00:00:00"/>
    <x v="3"/>
    <s v="Printer"/>
    <s v="Grace"/>
    <n v="12"/>
    <n v="510"/>
    <x v="1"/>
    <n v="6120"/>
    <n v="3737.9646618425541"/>
    <n v="2382.0353381574459"/>
  </r>
  <r>
    <d v="2024-12-13T00:00:00"/>
    <x v="3"/>
    <s v="Headphones"/>
    <s v="Eva"/>
    <n v="7"/>
    <n v="1055"/>
    <x v="0"/>
    <n v="7385"/>
    <n v="5500.7207240554517"/>
    <n v="1884.2792759445481"/>
  </r>
  <r>
    <d v="2024-11-13T00:00:00"/>
    <x v="1"/>
    <s v="Camera"/>
    <s v="David"/>
    <n v="12"/>
    <n v="684"/>
    <x v="2"/>
    <n v="8208"/>
    <n v="7041.7916007988742"/>
    <n v="1166.208399201126"/>
  </r>
  <r>
    <d v="2024-03-24T00:00:00"/>
    <x v="3"/>
    <s v="Smartwatch"/>
    <s v="Frank"/>
    <n v="2"/>
    <n v="1175"/>
    <x v="0"/>
    <n v="2350"/>
    <n v="1757.1192479476581"/>
    <n v="592.88075205234236"/>
  </r>
  <r>
    <d v="2024-11-13T00:00:00"/>
    <x v="0"/>
    <s v="Mobile"/>
    <s v="Bob"/>
    <n v="14"/>
    <n v="1763"/>
    <x v="2"/>
    <n v="24682"/>
    <n v="18898.93361554651"/>
    <n v="5783.0663844534902"/>
  </r>
  <r>
    <d v="2024-04-20T00:00:00"/>
    <x v="2"/>
    <s v="Laptop"/>
    <m/>
    <n v="5"/>
    <n v="1151"/>
    <x v="2"/>
    <n v="5755"/>
    <n v="3801.5891905694771"/>
    <n v="1953.4108094305229"/>
  </r>
  <r>
    <d v="2024-09-07T00:00:00"/>
    <x v="1"/>
    <s v="Monitor"/>
    <s v="Grace"/>
    <n v="9"/>
    <n v="676"/>
    <x v="1"/>
    <n v="6084"/>
    <n v="5100.2354714422208"/>
    <n v="983.76452855777916"/>
  </r>
  <r>
    <d v="2024-01-07T00:00:00"/>
    <x v="3"/>
    <s v="Printer"/>
    <s v="Charlie"/>
    <n v="-3"/>
    <n v="1140"/>
    <x v="1"/>
    <n v="-3420"/>
    <n v="-2420.2091235265052"/>
    <n v="-999.79087647349525"/>
  </r>
  <r>
    <d v="2024-03-24T00:00:00"/>
    <x v="0"/>
    <s v="Printer"/>
    <s v="Bob"/>
    <n v="5"/>
    <n v="1474"/>
    <x v="1"/>
    <n v="7370"/>
    <n v="6537.0150807432728"/>
    <n v="832.98491925672715"/>
  </r>
  <r>
    <d v="2024-07-26T00:00:00"/>
    <x v="2"/>
    <s v="Tablet"/>
    <s v="David"/>
    <n v="3"/>
    <n v="1551"/>
    <x v="2"/>
    <n v="4653"/>
    <n v="4178.9265008495468"/>
    <n v="474.07349915045319"/>
  </r>
  <r>
    <d v="2024-11-09T00:00:00"/>
    <x v="2"/>
    <s v="Smartwatch"/>
    <s v="Frank"/>
    <n v="17"/>
    <n v="1773"/>
    <x v="0"/>
    <n v="30141"/>
    <n v="26367.351706314392"/>
    <n v="3773.6482936856082"/>
  </r>
  <r>
    <d v="2024-01-22T00:00:00"/>
    <x v="1"/>
    <s v="Monitor"/>
    <s v="Eva"/>
    <n v="2"/>
    <n v="1954"/>
    <x v="1"/>
    <n v="3908"/>
    <n v="2444.3094956224468"/>
    <n v="1463.690504377553"/>
  </r>
  <r>
    <d v="2024-01-03T00:00:00"/>
    <x v="1"/>
    <s v="Mobile"/>
    <s v="Bob"/>
    <n v="1"/>
    <n v="1352"/>
    <x v="2"/>
    <n v="1352"/>
    <n v="946.33908786918857"/>
    <n v="405.66091213081143"/>
  </r>
  <r>
    <d v="2024-05-06T00:00:00"/>
    <x v="1"/>
    <s v="Headphones"/>
    <s v="Alice"/>
    <n v="7"/>
    <n v="1889"/>
    <x v="0"/>
    <n v="13223"/>
    <n v="11683.066484688179"/>
    <n v="1539.9335153118229"/>
  </r>
  <r>
    <d v="2024-10-23T00:00:00"/>
    <x v="0"/>
    <s v="Mobile"/>
    <s v="David"/>
    <n v="14"/>
    <n v="1088"/>
    <x v="2"/>
    <n v="15232"/>
    <n v="12815.59534412114"/>
    <n v="2416.4046558788582"/>
  </r>
  <r>
    <d v="2024-07-06T00:00:00"/>
    <x v="0"/>
    <s v="Smartwatch"/>
    <s v="Charlie"/>
    <n v="5"/>
    <n v="1333"/>
    <x v="0"/>
    <n v="6665"/>
    <n v="5820.9115868202052"/>
    <n v="844.08841317979477"/>
  </r>
  <r>
    <d v="2024-12-27T00:00:00"/>
    <x v="1"/>
    <s v="Smartwatch"/>
    <s v="Grace"/>
    <n v="19"/>
    <n v="1554"/>
    <x v="0"/>
    <n v="29526"/>
    <n v="22787.161678634129"/>
    <n v="6738.8383213658744"/>
  </r>
  <r>
    <d v="2024-01-14T00:00:00"/>
    <x v="3"/>
    <s v="Camera"/>
    <s v="Bob"/>
    <n v="11"/>
    <n v="1417"/>
    <x v="2"/>
    <n v="15587"/>
    <n v="11598.587162123709"/>
    <n v="3988.4128378762889"/>
  </r>
  <r>
    <d v="2024-01-12T00:00:00"/>
    <x v="2"/>
    <s v="Camera"/>
    <s v="Charlie"/>
    <n v="2"/>
    <n v="842"/>
    <x v="2"/>
    <n v="1684"/>
    <n v="1064.2019393506489"/>
    <n v="619.79806064935133"/>
  </r>
  <r>
    <d v="2024-03-27T00:00:00"/>
    <x v="2"/>
    <s v="Mobile"/>
    <s v="David"/>
    <n v="8"/>
    <n v="1876"/>
    <x v="2"/>
    <n v="15008"/>
    <n v="12784.43667215552"/>
    <n v="2223.563327844478"/>
  </r>
  <r>
    <d v="2024-01-12T00:00:00"/>
    <x v="0"/>
    <s v="Headphones"/>
    <s v="Charlie"/>
    <n v="9"/>
    <n v="1705"/>
    <x v="0"/>
    <n v="15345"/>
    <n v="12637.25911815367"/>
    <n v="2707.7408818463259"/>
  </r>
  <r>
    <d v="2024-01-25T00:00:00"/>
    <x v="2"/>
    <s v="Mobile"/>
    <s v="Bob"/>
    <n v="3"/>
    <n v="1227"/>
    <x v="2"/>
    <n v="3681"/>
    <n v="2273.6174327099202"/>
    <n v="1407.38256729008"/>
  </r>
  <r>
    <d v="2024-10-27T00:00:00"/>
    <x v="3"/>
    <s v="Smartwatch"/>
    <s v="David"/>
    <n v="2"/>
    <n v="303"/>
    <x v="0"/>
    <n v="606"/>
    <n v="401.67157238842287"/>
    <n v="204.3284276115771"/>
  </r>
  <r>
    <d v="2024-08-30T00:00:00"/>
    <x v="2"/>
    <s v="Smartwatch"/>
    <m/>
    <n v="7"/>
    <n v="1176"/>
    <x v="0"/>
    <n v="8232"/>
    <n v="6315.4526703627489"/>
    <n v="1916.5473296372511"/>
  </r>
  <r>
    <d v="2024-05-01T00:00:00"/>
    <x v="0"/>
    <s v="Tablet"/>
    <s v="Bob"/>
    <n v="5"/>
    <n v="1073"/>
    <x v="2"/>
    <n v="5365"/>
    <n v="4320.5456661230364"/>
    <n v="1044.454333876964"/>
  </r>
  <r>
    <d v="2024-05-26T00:00:00"/>
    <x v="0"/>
    <s v="Camera"/>
    <s v="Eva"/>
    <n v="5"/>
    <n v="1039"/>
    <x v="2"/>
    <n v="5195"/>
    <n v="3331.5591068507779"/>
    <n v="1863.4408931492219"/>
  </r>
  <r>
    <d v="2024-02-24T00:00:00"/>
    <x v="3"/>
    <s v="Monitor"/>
    <s v="Hannah"/>
    <n v="13"/>
    <n v="1498"/>
    <x v="1"/>
    <n v="19474"/>
    <n v="13114.715554420591"/>
    <n v="6359.2844455794111"/>
  </r>
  <r>
    <d v="2024-08-25T00:00:00"/>
    <x v="3"/>
    <s v="Monitor"/>
    <s v="Frank"/>
    <n v="6"/>
    <n v="1965"/>
    <x v="1"/>
    <n v="11790"/>
    <n v="7757.0308188147828"/>
    <n v="4032.9691811852172"/>
  </r>
  <r>
    <d v="2024-12-21T00:00:00"/>
    <x v="2"/>
    <s v="Monitor"/>
    <s v="Bob"/>
    <n v="18"/>
    <n v="1177"/>
    <x v="1"/>
    <n v="21186"/>
    <n v="14109.85790294343"/>
    <n v="7076.1420970565669"/>
  </r>
  <r>
    <d v="2024-06-21T00:00:00"/>
    <x v="2"/>
    <s v="Tablet"/>
    <s v="David"/>
    <n v="2"/>
    <n v="1399"/>
    <x v="2"/>
    <n v="2798"/>
    <n v="2451.646595923623"/>
    <n v="346.35340407637699"/>
  </r>
  <r>
    <d v="2024-08-08T00:00:00"/>
    <x v="0"/>
    <s v="Laptop"/>
    <s v="Grace"/>
    <n v="6"/>
    <n v="1458"/>
    <x v="2"/>
    <n v="8748"/>
    <n v="7127.396887482907"/>
    <n v="1620.603112517093"/>
  </r>
  <r>
    <d v="2024-04-28T00:00:00"/>
    <x v="3"/>
    <s v="Monitor"/>
    <s v="Frank"/>
    <n v="9"/>
    <n v="1154"/>
    <x v="1"/>
    <n v="10386"/>
    <n v="8528.2779295406126"/>
    <n v="1857.7220704593869"/>
  </r>
  <r>
    <d v="2024-11-04T00:00:00"/>
    <x v="3"/>
    <s v="Smartwatch"/>
    <s v="Bob"/>
    <n v="3"/>
    <n v="1258"/>
    <x v="0"/>
    <n v="3774"/>
    <n v="3163.361490966201"/>
    <n v="610.63850903379853"/>
  </r>
  <r>
    <d v="2024-07-01T00:00:00"/>
    <x v="3"/>
    <s v="Tablet"/>
    <s v="Alice"/>
    <n v="1"/>
    <n v="1181"/>
    <x v="2"/>
    <n v="1181"/>
    <n v="834.93382900879044"/>
    <n v="346.06617099120962"/>
  </r>
  <r>
    <d v="2024-10-14T00:00:00"/>
    <x v="2"/>
    <s v="Mobile"/>
    <s v="Grace"/>
    <n v="1"/>
    <n v="204"/>
    <x v="2"/>
    <n v="204"/>
    <n v="169.3516984012274"/>
    <n v="34.648301598772584"/>
  </r>
  <r>
    <d v="2024-11-02T00:00:00"/>
    <x v="3"/>
    <s v="Camera"/>
    <s v="Alice"/>
    <n v="19"/>
    <n v="1389"/>
    <x v="2"/>
    <n v="26391"/>
    <n v="23580.99236687299"/>
    <n v="2810.0076331270102"/>
  </r>
  <r>
    <d v="2024-10-26T00:00:00"/>
    <x v="0"/>
    <s v="Camera"/>
    <s v="Eva"/>
    <n v="5"/>
    <n v="1645"/>
    <x v="2"/>
    <n v="8225"/>
    <n v="6658.2878018592746"/>
    <n v="1566.7121981407249"/>
  </r>
  <r>
    <d v="2024-03-22T00:00:00"/>
    <x v="0"/>
    <s v="Headphones"/>
    <s v="Grace"/>
    <n v="13"/>
    <n v="1619"/>
    <x v="0"/>
    <n v="21047"/>
    <n v="15259.62082632632"/>
    <n v="5787.3791736736803"/>
  </r>
  <r>
    <d v="2024-07-29T00:00:00"/>
    <x v="2"/>
    <s v="Mobile"/>
    <s v="Charlie"/>
    <n v="19"/>
    <n v="352"/>
    <x v="2"/>
    <n v="6688"/>
    <n v="5450.1042740505"/>
    <n v="1237.8957259495"/>
  </r>
  <r>
    <d v="2024-05-29T00:00:00"/>
    <x v="1"/>
    <s v="Headphones"/>
    <s v="Hannah"/>
    <n v="12"/>
    <n v="394"/>
    <x v="0"/>
    <n v="4728"/>
    <n v="4114.4872028528544"/>
    <n v="613.51279714714565"/>
  </r>
  <r>
    <d v="2024-02-06T00:00:00"/>
    <x v="2"/>
    <s v="Tablet"/>
    <s v="Grace"/>
    <n v="16"/>
    <n v="767"/>
    <x v="2"/>
    <n v="12272"/>
    <n v="7837.2484991974643"/>
    <n v="4434.7515008025357"/>
  </r>
  <r>
    <d v="2024-12-17T00:00:00"/>
    <x v="1"/>
    <s v="Printer"/>
    <s v="Frank"/>
    <n v="19"/>
    <n v="1281"/>
    <x v="1"/>
    <n v="24339"/>
    <n v="16540.50213271696"/>
    <n v="7798.4978672830403"/>
  </r>
  <r>
    <d v="2024-11-07T00:00:00"/>
    <x v="3"/>
    <s v="Monitor"/>
    <s v="Grace"/>
    <n v="3"/>
    <n v="648"/>
    <x v="1"/>
    <n v="1944"/>
    <n v="1702.533552779817"/>
    <n v="241.46644722018249"/>
  </r>
  <r>
    <d v="2024-12-26T00:00:00"/>
    <x v="2"/>
    <s v="Laptop"/>
    <s v="David"/>
    <n v="12"/>
    <n v="730"/>
    <x v="2"/>
    <n v="8760"/>
    <n v="7742.7000623682179"/>
    <n v="1017.299937631782"/>
  </r>
  <r>
    <d v="2024-02-28T00:00:00"/>
    <x v="0"/>
    <s v="Mobile"/>
    <s v="Hannah"/>
    <n v="5"/>
    <n v="1190"/>
    <x v="2"/>
    <n v="5950"/>
    <n v="4434.1883419055321"/>
    <n v="1515.8116580944679"/>
  </r>
  <r>
    <d v="2024-05-10T00:00:00"/>
    <x v="3"/>
    <s v="Mobile"/>
    <s v="David"/>
    <n v="2"/>
    <n v="1877"/>
    <x v="2"/>
    <n v="3754"/>
    <n v="2674.219294984794"/>
    <n v="1079.780705015206"/>
  </r>
  <r>
    <d v="2024-07-20T00:00:00"/>
    <x v="0"/>
    <s v="Mobile"/>
    <s v="Charlie"/>
    <n v="7"/>
    <n v="398"/>
    <x v="2"/>
    <n v="2786"/>
    <n v="1907.949033123012"/>
    <n v="878.05096687698824"/>
  </r>
  <r>
    <d v="2024-08-30T00:00:00"/>
    <x v="3"/>
    <s v="Headphones"/>
    <s v="Grace"/>
    <n v="13"/>
    <n v="1586"/>
    <x v="0"/>
    <n v="20618"/>
    <n v="15455.77778226408"/>
    <n v="5162.2222177359236"/>
  </r>
  <r>
    <d v="2024-02-04T00:00:00"/>
    <x v="2"/>
    <s v="Tablet"/>
    <s v="Alice"/>
    <n v="15"/>
    <n v="1848"/>
    <x v="2"/>
    <n v="27720"/>
    <n v="24403.561056631192"/>
    <n v="3316.438943368812"/>
  </r>
  <r>
    <d v="2024-04-02T00:00:00"/>
    <x v="1"/>
    <s v="Mobile"/>
    <s v="Alice"/>
    <n v="3"/>
    <n v="1943"/>
    <x v="2"/>
    <n v="5829"/>
    <n v="3759.3720954771452"/>
    <n v="2069.6279045228548"/>
  </r>
  <r>
    <d v="2024-07-25T00:00:00"/>
    <x v="3"/>
    <s v="Printer"/>
    <s v="Bob"/>
    <n v="5"/>
    <n v="200"/>
    <x v="1"/>
    <n v="1000"/>
    <n v="725.94919156416609"/>
    <n v="274.05080843583391"/>
  </r>
  <r>
    <d v="2024-12-18T00:00:00"/>
    <x v="1"/>
    <s v="Mobile"/>
    <s v="Eva"/>
    <n v="8"/>
    <n v="1179"/>
    <x v="2"/>
    <n v="9432"/>
    <n v="8238.6855920469116"/>
    <n v="1193.314407953088"/>
  </r>
  <r>
    <d v="2024-11-27T00:00:00"/>
    <x v="3"/>
    <s v="Camera"/>
    <s v="Frank"/>
    <n v="1"/>
    <n v="431"/>
    <x v="2"/>
    <n v="431"/>
    <n v="303.74112162965179"/>
    <n v="127.2588783703482"/>
  </r>
  <r>
    <d v="2024-10-31T00:00:00"/>
    <x v="0"/>
    <s v="Monitor"/>
    <s v="Hannah"/>
    <n v="8"/>
    <n v="935"/>
    <x v="1"/>
    <n v="7480"/>
    <n v="6211.574677405697"/>
    <n v="1268.425322594303"/>
  </r>
  <r>
    <d v="2024-12-15T00:00:00"/>
    <x v="0"/>
    <s v="Laptop"/>
    <s v="Eva"/>
    <n v="18"/>
    <n v="1874"/>
    <x v="2"/>
    <n v="33732"/>
    <n v="24178.353332845461"/>
    <n v="9553.6466671545422"/>
  </r>
  <r>
    <d v="2024-07-31T00:00:00"/>
    <x v="3"/>
    <s v="Monitor"/>
    <s v="Grace"/>
    <n v="16"/>
    <n v="492"/>
    <x v="1"/>
    <n v="7872"/>
    <n v="6624.1148435276946"/>
    <n v="1247.885156472305"/>
  </r>
  <r>
    <d v="2024-06-07T00:00:00"/>
    <x v="1"/>
    <s v="Camera"/>
    <s v="Eva"/>
    <n v="18"/>
    <n v="1866"/>
    <x v="2"/>
    <n v="33588"/>
    <n v="30037.77207910881"/>
    <n v="3550.2279208911859"/>
  </r>
  <r>
    <d v="2024-01-24T00:00:00"/>
    <x v="2"/>
    <s v="Camera"/>
    <s v="Bob"/>
    <n v="12"/>
    <n v="973"/>
    <x v="2"/>
    <n v="11676"/>
    <n v="8364.0629386430846"/>
    <n v="3311.9370613569149"/>
  </r>
  <r>
    <d v="2024-10-19T00:00:00"/>
    <x v="2"/>
    <s v="Laptop"/>
    <s v="Eva"/>
    <n v="13"/>
    <n v="480"/>
    <x v="2"/>
    <n v="6240"/>
    <n v="5326.0246813629037"/>
    <n v="913.97531863709628"/>
  </r>
  <r>
    <d v="2024-01-04T00:00:00"/>
    <x v="0"/>
    <s v="Printer"/>
    <s v="Hannah"/>
    <n v="13"/>
    <n v="191"/>
    <x v="1"/>
    <n v="2483"/>
    <n v="2226.0716928235402"/>
    <n v="256.92830717645978"/>
  </r>
  <r>
    <d v="2024-08-07T00:00:00"/>
    <x v="2"/>
    <s v="Tablet"/>
    <s v="Charlie"/>
    <n v="10"/>
    <n v="1914"/>
    <x v="2"/>
    <n v="19140"/>
    <n v="17133.152681170621"/>
    <n v="2006.847318829376"/>
  </r>
  <r>
    <d v="2024-12-29T00:00:00"/>
    <x v="0"/>
    <s v="Camera"/>
    <s v="Bob"/>
    <n v="7"/>
    <n v="546"/>
    <x v="2"/>
    <n v="3822"/>
    <n v="2790.5619220860908"/>
    <n v="1031.438077913909"/>
  </r>
  <r>
    <d v="2024-01-20T00:00:00"/>
    <x v="2"/>
    <s v="Tablet"/>
    <s v="Charlie"/>
    <n v="14"/>
    <n v="208"/>
    <x v="2"/>
    <n v="2912"/>
    <n v="2171.5609149117372"/>
    <n v="740.4390850882628"/>
  </r>
  <r>
    <d v="2024-05-31T00:00:00"/>
    <x v="4"/>
    <s v="Camera"/>
    <s v="Grace"/>
    <n v="16"/>
    <n v="416"/>
    <x v="2"/>
    <n v="6656"/>
    <n v="4599.4322382887458"/>
    <n v="2056.5677617112542"/>
  </r>
  <r>
    <d v="2024-02-19T00:00:00"/>
    <x v="0"/>
    <s v="Smartwatch"/>
    <s v="Bob"/>
    <n v="15"/>
    <n v="1291"/>
    <x v="0"/>
    <n v="19365"/>
    <n v="13443.292007845081"/>
    <n v="5921.7079921549212"/>
  </r>
  <r>
    <d v="2024-06-25T00:00:00"/>
    <x v="0"/>
    <s v="Laptop"/>
    <s v="Grace"/>
    <n v="12"/>
    <n v="1935"/>
    <x v="2"/>
    <n v="23220"/>
    <n v="17362.55035725615"/>
    <n v="5857.4496427438498"/>
  </r>
  <r>
    <d v="2024-04-05T00:00:00"/>
    <x v="3"/>
    <s v="Camera"/>
    <s v="Grace"/>
    <n v="9"/>
    <n v="1558"/>
    <x v="2"/>
    <n v="14022"/>
    <n v="9256.7015009645202"/>
    <n v="4765.2984990354798"/>
  </r>
  <r>
    <d v="2024-04-14T00:00:00"/>
    <x v="0"/>
    <s v="Smartwatch"/>
    <s v="Eva"/>
    <n v="8"/>
    <n v="541"/>
    <x v="0"/>
    <n v="4328"/>
    <n v="3520.1224877275581"/>
    <n v="807.87751227244189"/>
  </r>
  <r>
    <d v="2024-09-06T00:00:00"/>
    <x v="2"/>
    <s v="Monitor"/>
    <s v="Charlie"/>
    <n v="18"/>
    <n v="317"/>
    <x v="1"/>
    <n v="5706"/>
    <n v="4341.6529497923293"/>
    <n v="1364.3470502076709"/>
  </r>
  <r>
    <d v="2024-04-26T00:00:00"/>
    <x v="2"/>
    <s v="Headphones"/>
    <s v="Grace"/>
    <n v="18"/>
    <n v="1345"/>
    <x v="0"/>
    <n v="24210"/>
    <n v="21048.66684664955"/>
    <n v="3161.3331533504502"/>
  </r>
  <r>
    <d v="2024-12-19T00:00:00"/>
    <x v="0"/>
    <s v="Smartwatch"/>
    <s v="Charlie"/>
    <n v="13"/>
    <n v="772"/>
    <x v="0"/>
    <n v="10036"/>
    <n v="8462.101591716777"/>
    <n v="1573.898408283223"/>
  </r>
  <r>
    <d v="2024-08-15T00:00:00"/>
    <x v="2"/>
    <s v="Mobile"/>
    <s v="Charlie"/>
    <n v="18"/>
    <n v="1651"/>
    <x v="2"/>
    <n v="29718"/>
    <n v="20705.758959468429"/>
    <n v="9012.2410405315713"/>
  </r>
  <r>
    <d v="2024-03-06T00:00:00"/>
    <x v="1"/>
    <s v="Camera"/>
    <s v="Bob"/>
    <n v="15"/>
    <n v="377"/>
    <x v="2"/>
    <n v="5655"/>
    <n v="4251.0975429494729"/>
    <n v="1403.9024570505269"/>
  </r>
  <r>
    <d v="2024-11-30T00:00:00"/>
    <x v="0"/>
    <s v="Smartwatch"/>
    <s v="David"/>
    <n v="4"/>
    <n v="1108"/>
    <x v="0"/>
    <n v="4432"/>
    <n v="3657.0846477885138"/>
    <n v="774.9153522114857"/>
  </r>
  <r>
    <d v="2024-09-18T00:00:00"/>
    <x v="3"/>
    <s v="Tablet"/>
    <s v="Eva"/>
    <n v="17"/>
    <n v="668"/>
    <x v="2"/>
    <n v="11356"/>
    <n v="7471.794194293384"/>
    <n v="3884.205805706616"/>
  </r>
  <r>
    <d v="2024-10-21T00:00:00"/>
    <x v="1"/>
    <s v="Headphones"/>
    <s v="Grace"/>
    <n v="5"/>
    <n v="1697"/>
    <x v="0"/>
    <n v="8485"/>
    <n v="5171.4320212506582"/>
    <n v="3313.5679787493418"/>
  </r>
  <r>
    <d v="2024-08-30T00:00:00"/>
    <x v="0"/>
    <s v="Printer"/>
    <s v="Charlie"/>
    <n v="16"/>
    <n v="1109"/>
    <x v="1"/>
    <n v="17744"/>
    <n v="15183.387454444261"/>
    <n v="2560.6125455557431"/>
  </r>
  <r>
    <d v="2024-07-04T00:00:00"/>
    <x v="3"/>
    <s v="Camera"/>
    <s v="Frank"/>
    <n v="9"/>
    <n v="974"/>
    <x v="2"/>
    <n v="8766"/>
    <n v="5621.329667154956"/>
    <n v="3144.670332845044"/>
  </r>
  <r>
    <d v="2024-09-02T00:00:00"/>
    <x v="2"/>
    <s v="Mobile"/>
    <s v="David"/>
    <n v="10"/>
    <n v="565"/>
    <x v="2"/>
    <n v="5650"/>
    <n v="4897.5523754665319"/>
    <n v="752.44762453346812"/>
  </r>
  <r>
    <d v="2024-05-04T00:00:00"/>
    <x v="3"/>
    <s v="Printer"/>
    <s v="Grace"/>
    <n v="18"/>
    <n v="938"/>
    <x v="1"/>
    <n v="16884"/>
    <n v="14758.00736256277"/>
    <n v="2125.9926374372262"/>
  </r>
  <r>
    <d v="2024-09-24T00:00:00"/>
    <x v="1"/>
    <s v="Smartwatch"/>
    <s v="Frank"/>
    <n v="17"/>
    <n v="853"/>
    <x v="0"/>
    <n v="14501"/>
    <n v="10704.78511602807"/>
    <n v="3796.2148839719271"/>
  </r>
  <r>
    <d v="2024-05-10T00:00:00"/>
    <x v="2"/>
    <s v="Printer"/>
    <s v="Eva"/>
    <n v="18"/>
    <n v="1725"/>
    <x v="1"/>
    <n v="31050"/>
    <n v="26145.171650564269"/>
    <n v="4904.8283494357347"/>
  </r>
  <r>
    <d v="2024-08-24T00:00:00"/>
    <x v="0"/>
    <s v="Printer"/>
    <s v="Eva"/>
    <n v="7"/>
    <n v="1707"/>
    <x v="1"/>
    <n v="11949"/>
    <n v="8471.3316608056793"/>
    <n v="3477.6683391943211"/>
  </r>
  <r>
    <d v="2024-01-18T00:00:00"/>
    <x v="2"/>
    <s v="Headphones"/>
    <s v="Charlie"/>
    <n v="4"/>
    <n v="937"/>
    <x v="0"/>
    <n v="3748"/>
    <n v="3213.8326583466078"/>
    <n v="534.16734165339176"/>
  </r>
  <r>
    <d v="2024-02-09T00:00:00"/>
    <x v="0"/>
    <s v="Monitor"/>
    <s v="Charlie"/>
    <n v="5"/>
    <n v="129"/>
    <x v="1"/>
    <n v="645"/>
    <n v="546.57594458625977"/>
    <n v="98.424055413740234"/>
  </r>
  <r>
    <d v="2024-01-21T00:00:00"/>
    <x v="0"/>
    <s v="Printer"/>
    <s v="Hannah"/>
    <n v="16"/>
    <n v="458"/>
    <x v="1"/>
    <n v="7328"/>
    <n v="4569.4148279191231"/>
    <n v="2758.5851720808769"/>
  </r>
  <r>
    <d v="2024-08-12T00:00:00"/>
    <x v="3"/>
    <s v="Printer"/>
    <s v="Hannah"/>
    <n v="3"/>
    <n v="1411"/>
    <x v="1"/>
    <n v="4233"/>
    <n v="3279.645950581431"/>
    <n v="953.35404941856905"/>
  </r>
  <r>
    <d v="2024-12-20T00:00:00"/>
    <x v="3"/>
    <s v="Camera"/>
    <s v="Grace"/>
    <n v="18"/>
    <n v="185"/>
    <x v="2"/>
    <n v="3330"/>
    <n v="2637.358904693152"/>
    <n v="692.64109530684846"/>
  </r>
  <r>
    <d v="2024-10-08T00:00:00"/>
    <x v="3"/>
    <s v="Monitor"/>
    <s v="Bob"/>
    <n v="14"/>
    <n v="1357"/>
    <x v="1"/>
    <n v="18998"/>
    <n v="11403.686042548419"/>
    <n v="7594.3139574515808"/>
  </r>
  <r>
    <d v="2024-01-08T00:00:00"/>
    <x v="1"/>
    <s v="Headphones"/>
    <s v="David"/>
    <n v="15"/>
    <n v="846"/>
    <x v="0"/>
    <n v="12690"/>
    <n v="11344.549039402429"/>
    <n v="1345.4509605975729"/>
  </r>
  <r>
    <d v="2024-04-09T00:00:00"/>
    <x v="1"/>
    <s v="Mobile"/>
    <s v="Grace"/>
    <n v="17"/>
    <n v="412"/>
    <x v="2"/>
    <n v="7004"/>
    <n v="5056.6797883813742"/>
    <n v="1947.320211618626"/>
  </r>
  <r>
    <d v="2024-08-27T00:00:00"/>
    <x v="3"/>
    <s v="Smartwatch"/>
    <s v="David"/>
    <n v="1"/>
    <n v="464"/>
    <x v="0"/>
    <n v="464"/>
    <n v="350.41417425560252"/>
    <n v="113.5858257443975"/>
  </r>
  <r>
    <d v="2024-03-27T00:00:00"/>
    <x v="1"/>
    <s v="Headphones"/>
    <s v="Charlie"/>
    <n v="17"/>
    <n v="1900"/>
    <x v="0"/>
    <n v="32300"/>
    <n v="21267.65153319437"/>
    <n v="11032.34846680563"/>
  </r>
  <r>
    <d v="2024-10-24T00:00:00"/>
    <x v="2"/>
    <m/>
    <s v="Eva"/>
    <n v="11"/>
    <n v="1922"/>
    <x v="0"/>
    <n v="21142"/>
    <n v="16560.012169760979"/>
    <n v="4581.9878302390171"/>
  </r>
  <r>
    <d v="2024-01-14T00:00:00"/>
    <x v="2"/>
    <s v="Laptop"/>
    <s v="Charlie"/>
    <n v="17"/>
    <n v="1962"/>
    <x v="2"/>
    <n v="33354"/>
    <n v="28123.624505964519"/>
    <n v="5230.3754940354811"/>
  </r>
  <r>
    <d v="2024-11-29T00:00:00"/>
    <x v="1"/>
    <s v="Headphones"/>
    <s v="Eva"/>
    <n v="14"/>
    <n v="1004"/>
    <x v="0"/>
    <n v="14056"/>
    <n v="10904.19084343095"/>
    <n v="3151.8091565690502"/>
  </r>
  <r>
    <d v="2024-01-02T00:00:00"/>
    <x v="1"/>
    <s v="Monitor"/>
    <s v="Hannah"/>
    <n v="19"/>
    <n v="1392"/>
    <x v="1"/>
    <n v="26448"/>
    <n v="22121.385267412159"/>
    <n v="4326.614732587841"/>
  </r>
  <r>
    <d v="2024-10-19T00:00:00"/>
    <x v="2"/>
    <s v="Laptop"/>
    <m/>
    <n v="7"/>
    <n v="797"/>
    <x v="2"/>
    <n v="5579"/>
    <n v="4571.0553938539961"/>
    <n v="1007.944606146004"/>
  </r>
  <r>
    <d v="2024-11-20T00:00:00"/>
    <x v="0"/>
    <s v="Smartwatch"/>
    <s v="Hannah"/>
    <n v="13"/>
    <n v="230"/>
    <x v="0"/>
    <n v="2990"/>
    <n v="2007.1790569398429"/>
    <n v="982.82094306015711"/>
  </r>
  <r>
    <d v="2024-02-10T00:00:00"/>
    <x v="2"/>
    <s v="Printer"/>
    <s v="Eva"/>
    <n v="18"/>
    <n v="902"/>
    <x v="1"/>
    <n v="16236"/>
    <n v="11864.35718647447"/>
    <n v="4371.6428135255337"/>
  </r>
  <r>
    <d v="2024-11-13T00:00:00"/>
    <x v="2"/>
    <s v="Camera"/>
    <s v="Charlie"/>
    <n v="14"/>
    <n v="888"/>
    <x v="2"/>
    <n v="12432"/>
    <n v="8013.51882819403"/>
    <n v="4418.48117180597"/>
  </r>
  <r>
    <d v="2024-11-11T00:00:00"/>
    <x v="1"/>
    <s v="Camera"/>
    <s v="Hannah"/>
    <n v="1"/>
    <n v="1955"/>
    <x v="2"/>
    <n v="1955"/>
    <n v="1197.595390731547"/>
    <n v="757.40460926845276"/>
  </r>
  <r>
    <d v="2024-04-20T00:00:00"/>
    <x v="2"/>
    <s v="Smartwatch"/>
    <s v="Alice"/>
    <n v="7"/>
    <n v="450"/>
    <x v="0"/>
    <n v="3150"/>
    <n v="1949.6001627246039"/>
    <n v="1200.3998372753961"/>
  </r>
  <r>
    <d v="2024-01-14T00:00:00"/>
    <x v="1"/>
    <s v="Smartwatch"/>
    <s v="David"/>
    <n v="8"/>
    <n v="279"/>
    <x v="0"/>
    <n v="2232"/>
    <n v="1970.297953042887"/>
    <n v="261.70204695711249"/>
  </r>
  <r>
    <d v="2024-08-18T00:00:00"/>
    <x v="1"/>
    <s v="Monitor"/>
    <s v="Frank"/>
    <n v="18"/>
    <n v="1925"/>
    <x v="1"/>
    <n v="34650"/>
    <n v="31024.266887701859"/>
    <n v="3625.7331122981382"/>
  </r>
  <r>
    <d v="2024-03-24T00:00:00"/>
    <x v="3"/>
    <s v="Tablet"/>
    <s v="Eva"/>
    <n v="9"/>
    <n v="1603"/>
    <x v="2"/>
    <n v="14427"/>
    <n v="9067.2721525905126"/>
    <n v="5359.7278474094874"/>
  </r>
  <r>
    <d v="2024-05-09T00:00:00"/>
    <x v="2"/>
    <s v="Printer"/>
    <s v="Eva"/>
    <n v="1"/>
    <n v="1286"/>
    <x v="1"/>
    <n v="1286"/>
    <n v="900.91762728937636"/>
    <n v="385.08237271062359"/>
  </r>
  <r>
    <d v="2024-08-18T00:00:00"/>
    <x v="0"/>
    <s v="Smartwatch"/>
    <s v="Alice"/>
    <n v="17"/>
    <n v="1906"/>
    <x v="0"/>
    <n v="32402"/>
    <n v="20553.43766352463"/>
    <n v="11848.56233647537"/>
  </r>
  <r>
    <d v="2024-11-21T00:00:00"/>
    <x v="3"/>
    <s v="Headphones"/>
    <s v="Grace"/>
    <n v="19"/>
    <n v="1219"/>
    <x v="0"/>
    <n v="23161"/>
    <n v="19693.072133414611"/>
    <n v="3467.9278665853931"/>
  </r>
  <r>
    <d v="2024-05-24T00:00:00"/>
    <x v="1"/>
    <s v="Monitor"/>
    <s v="Grace"/>
    <n v="6"/>
    <n v="873"/>
    <x v="1"/>
    <n v="5238"/>
    <n v="3922.6812498035379"/>
    <n v="1315.3187501964619"/>
  </r>
  <r>
    <d v="2024-12-10T00:00:00"/>
    <x v="1"/>
    <s v="Camera"/>
    <s v="Grace"/>
    <n v="3"/>
    <n v="609"/>
    <x v="2"/>
    <n v="1827"/>
    <n v="1436.713568422794"/>
    <n v="390.28643157720632"/>
  </r>
  <r>
    <d v="2024-01-28T00:00:00"/>
    <x v="0"/>
    <s v="Mobile"/>
    <s v="Frank"/>
    <n v="5"/>
    <n v="464"/>
    <x v="2"/>
    <n v="2320"/>
    <n v="1767.7779625515641"/>
    <n v="552.22203744843569"/>
  </r>
  <r>
    <d v="2024-03-06T00:00:00"/>
    <x v="1"/>
    <s v="Monitor"/>
    <s v="Bob"/>
    <n v="2"/>
    <n v="1080"/>
    <x v="1"/>
    <n v="2160"/>
    <n v="1756.2443223287839"/>
    <n v="403.75567767121612"/>
  </r>
  <r>
    <d v="2024-06-11T00:00:00"/>
    <x v="2"/>
    <s v="Camera"/>
    <s v="Alice"/>
    <n v="4"/>
    <n v="452"/>
    <x v="2"/>
    <n v="1808"/>
    <n v="1257.8973287751739"/>
    <n v="550.10267122482628"/>
  </r>
  <r>
    <d v="2024-08-16T00:00:00"/>
    <x v="3"/>
    <s v="Laptop"/>
    <s v="Frank"/>
    <n v="10"/>
    <n v="899"/>
    <x v="2"/>
    <n v="8990"/>
    <n v="5764.8195771674973"/>
    <n v="3225.1804228325032"/>
  </r>
  <r>
    <d v="2024-09-17T00:00:00"/>
    <x v="1"/>
    <m/>
    <s v="Hannah"/>
    <n v="10"/>
    <n v="1559"/>
    <x v="1"/>
    <n v="15590"/>
    <n v="9436.4087527668707"/>
    <n v="6153.5912472331293"/>
  </r>
  <r>
    <d v="2024-06-12T00:00:00"/>
    <x v="1"/>
    <s v="Camera"/>
    <s v="Alice"/>
    <n v="11"/>
    <n v="1206"/>
    <x v="2"/>
    <n v="13266"/>
    <n v="9733.3685581535083"/>
    <n v="3532.6314418464922"/>
  </r>
  <r>
    <d v="2024-10-27T00:00:00"/>
    <x v="0"/>
    <s v="Tablet"/>
    <s v="Eva"/>
    <n v="16"/>
    <n v="1348"/>
    <x v="2"/>
    <n v="21568"/>
    <n v="18814.851888052119"/>
    <n v="2753.1481119478849"/>
  </r>
  <r>
    <d v="2024-10-29T00:00:00"/>
    <x v="2"/>
    <s v="Monitor"/>
    <s v="David"/>
    <n v="17"/>
    <n v="511"/>
    <x v="1"/>
    <n v="8687"/>
    <n v="6007.7551247137681"/>
    <n v="2679.2448752862319"/>
  </r>
  <r>
    <d v="2024-10-13T00:00:00"/>
    <x v="4"/>
    <s v="Monitor"/>
    <s v="Alice"/>
    <n v="16"/>
    <n v="834"/>
    <x v="1"/>
    <n v="13344"/>
    <n v="8790.8543463701262"/>
    <n v="4553.1456536298738"/>
  </r>
  <r>
    <d v="2024-01-10T00:00:00"/>
    <x v="0"/>
    <s v="Printer"/>
    <s v="Bob"/>
    <n v="7"/>
    <n v="1080"/>
    <x v="1"/>
    <n v="7560"/>
    <n v="6636.2649484884396"/>
    <n v="923.73505151156041"/>
  </r>
  <r>
    <d v="2024-07-13T00:00:00"/>
    <x v="1"/>
    <s v="Smartwatch"/>
    <s v="Charlie"/>
    <n v="16"/>
    <n v="217"/>
    <x v="0"/>
    <n v="3472"/>
    <n v="2193.0353021233482"/>
    <n v="1278.9646978766521"/>
  </r>
  <r>
    <d v="2024-04-27T00:00:00"/>
    <x v="0"/>
    <s v="Printer"/>
    <s v="Hannah"/>
    <n v="3"/>
    <n v="581"/>
    <x v="1"/>
    <n v="1743"/>
    <n v="1072.8867603731269"/>
    <n v="670.11323962687311"/>
  </r>
  <r>
    <d v="2024-09-26T00:00:00"/>
    <x v="0"/>
    <s v="Monitor"/>
    <s v="Frank"/>
    <n v="16"/>
    <n v="291"/>
    <x v="1"/>
    <n v="4656"/>
    <n v="4021.964322777756"/>
    <n v="634.03567722224443"/>
  </r>
  <r>
    <d v="2024-03-20T00:00:00"/>
    <x v="4"/>
    <s v="Smartwatch"/>
    <s v="Hannah"/>
    <n v="8"/>
    <n v="690"/>
    <x v="0"/>
    <n v="5520"/>
    <n v="4472.7059365169653"/>
    <n v="1047.294063483035"/>
  </r>
  <r>
    <d v="2024-04-02T00:00:00"/>
    <x v="1"/>
    <s v="Camera"/>
    <s v="Hannah"/>
    <n v="12"/>
    <n v="689"/>
    <x v="2"/>
    <n v="8268"/>
    <n v="6007.6990500360389"/>
    <n v="2260.3009499639611"/>
  </r>
  <r>
    <d v="2024-09-22T00:00:00"/>
    <x v="2"/>
    <s v="Mobile"/>
    <s v="Alice"/>
    <n v="3"/>
    <n v="758"/>
    <x v="2"/>
    <n v="2274"/>
    <n v="1877.6490583866309"/>
    <n v="396.3509416133686"/>
  </r>
  <r>
    <d v="2024-11-27T00:00:00"/>
    <x v="0"/>
    <s v="Mobile"/>
    <s v="Alice"/>
    <n v="17"/>
    <n v="206"/>
    <x v="2"/>
    <n v="3502"/>
    <n v="2880.1568136177088"/>
    <n v="621.8431863822907"/>
  </r>
  <r>
    <d v="2024-12-15T00:00:00"/>
    <x v="3"/>
    <s v="Monitor"/>
    <s v="Bob"/>
    <n v="18"/>
    <n v="481"/>
    <x v="1"/>
    <n v="8658"/>
    <n v="5298.8533070130379"/>
    <n v="3359.1466929869621"/>
  </r>
  <r>
    <d v="2024-12-26T00:00:00"/>
    <x v="1"/>
    <s v="Tablet"/>
    <s v="David"/>
    <n v="11"/>
    <n v="882"/>
    <x v="2"/>
    <n v="9702"/>
    <n v="7789.4839711871909"/>
    <n v="1912.5160288128091"/>
  </r>
  <r>
    <d v="2024-09-13T00:00:00"/>
    <x v="3"/>
    <s v="Laptop"/>
    <s v="Alice"/>
    <n v="4"/>
    <n v="489"/>
    <x v="2"/>
    <n v="1956"/>
    <n v="1549.663911089252"/>
    <n v="406.336088910748"/>
  </r>
  <r>
    <d v="2024-05-12T00:00:00"/>
    <x v="1"/>
    <s v="Camera"/>
    <s v="Alice"/>
    <n v="16"/>
    <n v="343"/>
    <x v="2"/>
    <n v="5488"/>
    <n v="4879.565970195802"/>
    <n v="608.43402980419796"/>
  </r>
  <r>
    <d v="2024-10-02T00:00:00"/>
    <x v="2"/>
    <s v="Smartwatch"/>
    <s v="David"/>
    <n v="17"/>
    <n v="684"/>
    <x v="0"/>
    <n v="11628"/>
    <n v="10348.76631328132"/>
    <n v="1279.23368671868"/>
  </r>
  <r>
    <d v="2024-09-20T00:00:00"/>
    <x v="2"/>
    <s v="Monitor"/>
    <s v="Bob"/>
    <n v="9"/>
    <n v="968"/>
    <x v="1"/>
    <n v="8712"/>
    <n v="6214.6163189616618"/>
    <n v="2497.3836810383382"/>
  </r>
  <r>
    <d v="2024-06-19T00:00:00"/>
    <x v="2"/>
    <s v="Headphones"/>
    <s v="Frank"/>
    <n v="6"/>
    <n v="567"/>
    <x v="2"/>
    <n v="3402"/>
    <n v="2643.1926552731161"/>
    <n v="758.80734472688437"/>
  </r>
  <r>
    <d v="2024-01-01T00:00:00"/>
    <x v="2"/>
    <s v="Monitor"/>
    <s v="Hannah"/>
    <n v="2"/>
    <n v="965"/>
    <x v="1"/>
    <n v="1930"/>
    <n v="1239.8459200603711"/>
    <n v="690.1540799396289"/>
  </r>
  <r>
    <d v="2024-11-08T00:00:00"/>
    <x v="2"/>
    <s v="Tablet"/>
    <s v="Frank"/>
    <n v="9"/>
    <n v="1033"/>
    <x v="2"/>
    <n v="9297"/>
    <n v="5763.5538965470423"/>
    <n v="3533.4461034529581"/>
  </r>
  <r>
    <d v="2024-03-04T00:00:00"/>
    <x v="3"/>
    <s v="Headphones"/>
    <s v="Alice"/>
    <n v="6"/>
    <n v="1661"/>
    <x v="0"/>
    <n v="9966"/>
    <n v="7273.5252620796673"/>
    <n v="2692.4747379203332"/>
  </r>
  <r>
    <d v="2024-10-10T00:00:00"/>
    <x v="2"/>
    <s v="Headphones"/>
    <s v="David"/>
    <n v="3"/>
    <n v="1333"/>
    <x v="0"/>
    <n v="3999"/>
    <n v="3227.0514483987622"/>
    <n v="771.9485516012378"/>
  </r>
  <r>
    <d v="2024-04-30T00:00:00"/>
    <x v="0"/>
    <s v="Tablet"/>
    <s v="Alice"/>
    <n v="6"/>
    <n v="703"/>
    <x v="2"/>
    <n v="4218"/>
    <n v="3249.2449241555441"/>
    <n v="968.75507584445631"/>
  </r>
  <r>
    <d v="2024-04-16T00:00:00"/>
    <x v="0"/>
    <s v="Smartwatch"/>
    <s v="Grace"/>
    <n v="7"/>
    <n v="1760"/>
    <x v="0"/>
    <n v="12320"/>
    <n v="8980.0119843994635"/>
    <n v="3339.988015600537"/>
  </r>
  <r>
    <d v="2024-06-23T00:00:00"/>
    <x v="3"/>
    <s v="Printer"/>
    <s v="Charlie"/>
    <n v="1"/>
    <n v="1114"/>
    <x v="1"/>
    <n v="1114"/>
    <n v="941.81321313206843"/>
    <n v="172.1867868679316"/>
  </r>
  <r>
    <d v="2024-07-22T00:00:00"/>
    <x v="1"/>
    <s v="Tablet"/>
    <s v="Frank"/>
    <n v="1"/>
    <n v="1196"/>
    <x v="2"/>
    <n v="1196"/>
    <n v="1002.640577019528"/>
    <n v="193.359422980471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E3:F9" firstHeaderRow="1" firstDataRow="1" firstDataCol="1"/>
  <pivotFields count="10">
    <pivotField numFmtId="164" showAll="0"/>
    <pivotField axis="axisRow" showAll="0">
      <items count="9">
        <item m="1" x="6"/>
        <item x="2"/>
        <item x="0"/>
        <item x="3"/>
        <item x="1"/>
        <item m="1" x="7"/>
        <item m="1"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7"/>
    </i>
    <i t="grand">
      <x/>
    </i>
  </rowItems>
  <colItems count="1">
    <i/>
  </colItems>
  <dataFields count="1">
    <dataField name="Sum of Profit" fld="9" baseField="1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10">
    <pivotField numFmtId="164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6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2001" totalsRowShown="0" headerRowDxfId="3" headerRowBorderDxfId="2" tableBorderDxfId="1">
  <autoFilter ref="A1:J2001"/>
  <tableColumns count="10">
    <tableColumn id="1" name="Date" dataDxfId="0"/>
    <tableColumn id="2" name="Region"/>
    <tableColumn id="3" name="Product"/>
    <tableColumn id="4" name="Salesperson"/>
    <tableColumn id="5" name="Units_Sold"/>
    <tableColumn id="6" name="Unit_Price"/>
    <tableColumn id="7" name="Category"/>
    <tableColumn id="8" name="Revenue"/>
    <tableColumn id="9" name="Cost"/>
    <tableColumn id="10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topLeftCell="A3" workbookViewId="0">
      <selection activeCell="F9" sqref="F9"/>
    </sheetView>
  </sheetViews>
  <sheetFormatPr defaultRowHeight="14.5" x14ac:dyDescent="0.35"/>
  <cols>
    <col min="1" max="1" width="12.36328125" bestFit="1" customWidth="1"/>
    <col min="2" max="2" width="14.36328125" customWidth="1"/>
    <col min="5" max="5" width="12.36328125" customWidth="1"/>
    <col min="6" max="6" width="11.81640625" customWidth="1"/>
  </cols>
  <sheetData>
    <row r="3" spans="1:6" x14ac:dyDescent="0.35">
      <c r="A3" s="3" t="s">
        <v>41</v>
      </c>
      <c r="B3" t="s">
        <v>43</v>
      </c>
      <c r="E3" s="3" t="s">
        <v>41</v>
      </c>
      <c r="F3" t="s">
        <v>44</v>
      </c>
    </row>
    <row r="4" spans="1:6" x14ac:dyDescent="0.35">
      <c r="A4" s="4" t="s">
        <v>38</v>
      </c>
      <c r="B4" s="5">
        <v>5371991</v>
      </c>
      <c r="E4" s="4" t="s">
        <v>12</v>
      </c>
      <c r="F4" s="5">
        <v>1241229.2140551682</v>
      </c>
    </row>
    <row r="5" spans="1:6" x14ac:dyDescent="0.35">
      <c r="A5" s="4" t="s">
        <v>40</v>
      </c>
      <c r="B5" s="5">
        <v>10603574</v>
      </c>
      <c r="E5" s="4" t="s">
        <v>10</v>
      </c>
      <c r="F5" s="5">
        <v>1288586.5077036875</v>
      </c>
    </row>
    <row r="6" spans="1:6" x14ac:dyDescent="0.35">
      <c r="A6" s="4" t="s">
        <v>39</v>
      </c>
      <c r="B6" s="5">
        <v>4744002</v>
      </c>
      <c r="E6" s="4" t="s">
        <v>13</v>
      </c>
      <c r="F6" s="5">
        <v>1213721.3056156337</v>
      </c>
    </row>
    <row r="7" spans="1:6" x14ac:dyDescent="0.35">
      <c r="A7" s="4" t="s">
        <v>42</v>
      </c>
      <c r="B7" s="5">
        <v>20719567</v>
      </c>
      <c r="E7" s="4" t="s">
        <v>11</v>
      </c>
      <c r="F7" s="5">
        <v>1399591.8009632414</v>
      </c>
    </row>
    <row r="8" spans="1:6" x14ac:dyDescent="0.35">
      <c r="E8" s="4" t="s">
        <v>50</v>
      </c>
      <c r="F8" s="5">
        <v>82178.244985329467</v>
      </c>
    </row>
    <row r="9" spans="1:6" x14ac:dyDescent="0.35">
      <c r="E9" s="4" t="s">
        <v>42</v>
      </c>
      <c r="F9" s="5">
        <v>5225307.0733230608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"/>
  <sheetViews>
    <sheetView tabSelected="1" workbookViewId="0">
      <selection activeCell="N13" sqref="N13"/>
    </sheetView>
  </sheetViews>
  <sheetFormatPr defaultRowHeight="14.5" x14ac:dyDescent="0.35"/>
  <cols>
    <col min="1" max="1" width="8.7265625" customWidth="1"/>
    <col min="2" max="2" width="12.453125" customWidth="1"/>
    <col min="3" max="4" width="8.7265625" customWidth="1"/>
    <col min="5" max="5" width="14.08984375" customWidth="1"/>
    <col min="6" max="7" width="8.7265625" customWidth="1"/>
    <col min="8" max="8" width="14.08984375" customWidth="1"/>
    <col min="11" max="11" width="12.54296875" customWidth="1"/>
  </cols>
  <sheetData>
    <row r="1" spans="2:12" ht="33.5" x14ac:dyDescent="0.75">
      <c r="G1" s="8" t="s">
        <v>45</v>
      </c>
    </row>
    <row r="2" spans="2:12" ht="18.5" x14ac:dyDescent="0.45">
      <c r="B2" s="6" t="s">
        <v>46</v>
      </c>
      <c r="C2" s="6"/>
      <c r="E2" s="6" t="s">
        <v>47</v>
      </c>
      <c r="F2" s="6"/>
      <c r="H2" s="6" t="s">
        <v>48</v>
      </c>
      <c r="I2" s="6"/>
      <c r="K2" s="6" t="s">
        <v>49</v>
      </c>
      <c r="L2" s="6"/>
    </row>
    <row r="3" spans="2:12" ht="21" x14ac:dyDescent="0.5">
      <c r="B3" s="7">
        <f>SUM(Sheet1!H:H)</f>
        <v>20719567</v>
      </c>
      <c r="C3" s="7"/>
      <c r="E3" s="7">
        <f>SUM(Sheet1!J:J)</f>
        <v>5225307.0733230626</v>
      </c>
      <c r="F3" s="7"/>
      <c r="H3" s="7">
        <f>SUM(Sheet1!E:E)</f>
        <v>19775</v>
      </c>
      <c r="I3" s="7"/>
      <c r="K3" s="7">
        <f>COUNTA(Sheet1!C:C)-1</f>
        <v>1960</v>
      </c>
      <c r="L3" s="7"/>
    </row>
  </sheetData>
  <mergeCells count="8">
    <mergeCell ref="H2:I2"/>
    <mergeCell ref="K2:L2"/>
    <mergeCell ref="B2:C2"/>
    <mergeCell ref="B3:C3"/>
    <mergeCell ref="E2:F2"/>
    <mergeCell ref="E3:F3"/>
    <mergeCell ref="H3:I3"/>
    <mergeCell ref="K3:L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selection activeCell="B141" sqref="B141:B1983"/>
    </sheetView>
  </sheetViews>
  <sheetFormatPr defaultRowHeight="14.5" x14ac:dyDescent="0.35"/>
  <cols>
    <col min="1" max="1" width="17.81640625" bestFit="1" customWidth="1"/>
    <col min="3" max="3" width="9.453125" customWidth="1"/>
    <col min="4" max="4" width="12.81640625" customWidth="1"/>
    <col min="5" max="5" width="11.7265625" customWidth="1"/>
    <col min="6" max="6" width="11.453125" customWidth="1"/>
    <col min="7" max="7" width="10.26953125" customWidth="1"/>
    <col min="8" max="8" width="10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>
        <v>45394</v>
      </c>
      <c r="B2" t="s">
        <v>10</v>
      </c>
      <c r="C2" t="s">
        <v>17</v>
      </c>
      <c r="D2" t="s">
        <v>30</v>
      </c>
      <c r="E2">
        <v>15</v>
      </c>
      <c r="F2">
        <v>1224</v>
      </c>
      <c r="G2" t="s">
        <v>38</v>
      </c>
      <c r="H2">
        <v>18360</v>
      </c>
      <c r="I2">
        <v>16451.634257536429</v>
      </c>
      <c r="J2">
        <v>1908.365742463571</v>
      </c>
    </row>
    <row r="3" spans="1:10" x14ac:dyDescent="0.35">
      <c r="A3" s="1">
        <v>45640</v>
      </c>
      <c r="B3" t="s">
        <v>10</v>
      </c>
      <c r="C3" t="s">
        <v>18</v>
      </c>
      <c r="D3" t="s">
        <v>31</v>
      </c>
      <c r="E3">
        <v>5</v>
      </c>
      <c r="F3">
        <v>1321</v>
      </c>
      <c r="G3" t="s">
        <v>39</v>
      </c>
      <c r="H3">
        <v>6605</v>
      </c>
      <c r="I3">
        <v>4457.3517267107454</v>
      </c>
      <c r="J3">
        <v>2147.648273289255</v>
      </c>
    </row>
    <row r="4" spans="1:10" x14ac:dyDescent="0.35">
      <c r="A4" s="1">
        <v>45562</v>
      </c>
      <c r="B4" t="s">
        <v>10</v>
      </c>
      <c r="C4" t="s">
        <v>19</v>
      </c>
      <c r="D4" t="s">
        <v>32</v>
      </c>
      <c r="E4">
        <v>11</v>
      </c>
      <c r="F4">
        <v>912</v>
      </c>
      <c r="G4" t="s">
        <v>40</v>
      </c>
      <c r="H4">
        <v>10032</v>
      </c>
      <c r="I4">
        <v>6563.6441262533353</v>
      </c>
      <c r="J4">
        <v>3468.3558737466651</v>
      </c>
    </row>
    <row r="5" spans="1:10" x14ac:dyDescent="0.35">
      <c r="A5" s="1">
        <v>45398</v>
      </c>
      <c r="B5" t="s">
        <v>11</v>
      </c>
      <c r="C5" t="s">
        <v>18</v>
      </c>
      <c r="D5" t="s">
        <v>33</v>
      </c>
      <c r="E5">
        <v>18</v>
      </c>
      <c r="F5">
        <v>325</v>
      </c>
      <c r="G5" t="s">
        <v>39</v>
      </c>
      <c r="H5">
        <v>5850</v>
      </c>
      <c r="I5">
        <v>4320.8070916033794</v>
      </c>
      <c r="J5">
        <v>1529.1929083966211</v>
      </c>
    </row>
    <row r="6" spans="1:10" x14ac:dyDescent="0.35">
      <c r="A6" s="1">
        <v>45363</v>
      </c>
      <c r="B6" t="s">
        <v>11</v>
      </c>
      <c r="C6" t="s">
        <v>20</v>
      </c>
      <c r="D6" t="s">
        <v>31</v>
      </c>
      <c r="E6">
        <v>13</v>
      </c>
      <c r="F6">
        <v>1042</v>
      </c>
      <c r="G6" t="s">
        <v>38</v>
      </c>
      <c r="H6">
        <v>13546</v>
      </c>
      <c r="I6">
        <v>8270.122665544859</v>
      </c>
      <c r="J6">
        <v>5275.877334455141</v>
      </c>
    </row>
    <row r="7" spans="1:10" x14ac:dyDescent="0.35">
      <c r="A7" s="1">
        <v>45480</v>
      </c>
      <c r="B7" t="s">
        <v>11</v>
      </c>
      <c r="C7" t="s">
        <v>18</v>
      </c>
      <c r="D7" t="s">
        <v>33</v>
      </c>
      <c r="E7">
        <v>11</v>
      </c>
      <c r="F7">
        <v>562</v>
      </c>
      <c r="G7" t="s">
        <v>39</v>
      </c>
      <c r="H7">
        <v>6182</v>
      </c>
      <c r="I7">
        <v>5177.5199831477194</v>
      </c>
      <c r="J7">
        <v>1004.480016852281</v>
      </c>
    </row>
    <row r="8" spans="1:10" x14ac:dyDescent="0.35">
      <c r="A8" s="1">
        <v>45312</v>
      </c>
      <c r="B8" t="s">
        <v>11</v>
      </c>
      <c r="C8" t="s">
        <v>20</v>
      </c>
      <c r="D8" t="s">
        <v>33</v>
      </c>
      <c r="E8">
        <v>14</v>
      </c>
      <c r="F8">
        <v>336</v>
      </c>
      <c r="G8" t="s">
        <v>38</v>
      </c>
      <c r="H8">
        <v>4704</v>
      </c>
      <c r="I8">
        <v>4069.5621103550811</v>
      </c>
      <c r="J8">
        <v>634.43788964491932</v>
      </c>
    </row>
    <row r="9" spans="1:10" x14ac:dyDescent="0.35">
      <c r="A9" s="1">
        <v>45394</v>
      </c>
      <c r="B9" t="s">
        <v>12</v>
      </c>
      <c r="C9" t="s">
        <v>21</v>
      </c>
      <c r="D9" t="s">
        <v>34</v>
      </c>
      <c r="E9">
        <v>18</v>
      </c>
      <c r="F9">
        <v>1149</v>
      </c>
      <c r="G9" t="s">
        <v>40</v>
      </c>
      <c r="H9">
        <v>20682</v>
      </c>
      <c r="I9">
        <v>16665.801914852022</v>
      </c>
      <c r="J9">
        <v>4016.1980851479821</v>
      </c>
    </row>
    <row r="10" spans="1:10" x14ac:dyDescent="0.35">
      <c r="A10" s="1">
        <v>45413</v>
      </c>
      <c r="B10" t="s">
        <v>12</v>
      </c>
      <c r="C10" t="s">
        <v>22</v>
      </c>
      <c r="D10" t="s">
        <v>34</v>
      </c>
      <c r="E10">
        <v>19</v>
      </c>
      <c r="F10">
        <v>1244</v>
      </c>
      <c r="G10" t="s">
        <v>40</v>
      </c>
      <c r="H10">
        <v>23636</v>
      </c>
      <c r="I10">
        <v>16081.89912017564</v>
      </c>
      <c r="J10">
        <v>7554.1008798243583</v>
      </c>
    </row>
    <row r="11" spans="1:10" x14ac:dyDescent="0.35">
      <c r="A11" s="1">
        <v>45506</v>
      </c>
      <c r="B11" t="s">
        <v>13</v>
      </c>
      <c r="C11" t="s">
        <v>23</v>
      </c>
      <c r="D11" t="s">
        <v>30</v>
      </c>
      <c r="E11">
        <v>15</v>
      </c>
      <c r="F11">
        <v>605</v>
      </c>
      <c r="G11" t="s">
        <v>39</v>
      </c>
      <c r="H11">
        <v>9075</v>
      </c>
      <c r="I11">
        <v>5780.2907779344814</v>
      </c>
      <c r="J11">
        <v>3294.709222065519</v>
      </c>
    </row>
    <row r="12" spans="1:10" x14ac:dyDescent="0.35">
      <c r="A12" s="1">
        <v>45622</v>
      </c>
      <c r="B12" t="s">
        <v>11</v>
      </c>
      <c r="C12" t="s">
        <v>20</v>
      </c>
      <c r="E12">
        <v>9</v>
      </c>
      <c r="F12">
        <v>1305</v>
      </c>
      <c r="G12" t="s">
        <v>38</v>
      </c>
      <c r="H12">
        <v>11745</v>
      </c>
      <c r="I12">
        <v>8393.4850461357255</v>
      </c>
      <c r="J12">
        <v>3351.514953864275</v>
      </c>
    </row>
    <row r="13" spans="1:10" x14ac:dyDescent="0.35">
      <c r="A13" s="1">
        <v>45379</v>
      </c>
      <c r="B13" t="s">
        <v>12</v>
      </c>
      <c r="C13" t="s">
        <v>22</v>
      </c>
      <c r="D13" t="s">
        <v>31</v>
      </c>
      <c r="E13">
        <v>8</v>
      </c>
      <c r="F13">
        <v>1834</v>
      </c>
      <c r="G13" t="s">
        <v>40</v>
      </c>
      <c r="H13">
        <v>14672</v>
      </c>
      <c r="I13">
        <v>12471.210067215919</v>
      </c>
      <c r="J13">
        <v>2200.7899327840751</v>
      </c>
    </row>
    <row r="14" spans="1:10" x14ac:dyDescent="0.35">
      <c r="A14" s="1">
        <v>45391</v>
      </c>
      <c r="B14" t="s">
        <v>10</v>
      </c>
      <c r="C14" t="s">
        <v>17</v>
      </c>
      <c r="D14" t="s">
        <v>35</v>
      </c>
      <c r="E14">
        <v>1</v>
      </c>
      <c r="F14">
        <v>913</v>
      </c>
      <c r="G14" t="s">
        <v>38</v>
      </c>
      <c r="H14">
        <v>913</v>
      </c>
      <c r="I14">
        <v>643.07003545701684</v>
      </c>
      <c r="J14">
        <v>269.92996454298321</v>
      </c>
    </row>
    <row r="15" spans="1:10" x14ac:dyDescent="0.35">
      <c r="A15" s="1">
        <v>45651</v>
      </c>
      <c r="B15" t="s">
        <v>11</v>
      </c>
      <c r="C15" t="s">
        <v>19</v>
      </c>
      <c r="D15" t="s">
        <v>33</v>
      </c>
      <c r="E15">
        <v>4</v>
      </c>
      <c r="F15">
        <v>866</v>
      </c>
      <c r="G15" t="s">
        <v>40</v>
      </c>
      <c r="H15">
        <v>3464</v>
      </c>
      <c r="I15">
        <v>2113.9973529128042</v>
      </c>
      <c r="J15">
        <v>1350.002647087196</v>
      </c>
    </row>
    <row r="16" spans="1:10" x14ac:dyDescent="0.35">
      <c r="A16" s="1">
        <v>45443</v>
      </c>
      <c r="B16" t="s">
        <v>13</v>
      </c>
      <c r="C16" t="s">
        <v>17</v>
      </c>
      <c r="D16" t="s">
        <v>36</v>
      </c>
      <c r="E16">
        <v>14</v>
      </c>
      <c r="G16" t="s">
        <v>38</v>
      </c>
    </row>
    <row r="17" spans="1:10" x14ac:dyDescent="0.35">
      <c r="A17" s="1">
        <v>45422</v>
      </c>
      <c r="B17" t="s">
        <v>13</v>
      </c>
      <c r="C17" t="s">
        <v>21</v>
      </c>
      <c r="D17" t="s">
        <v>33</v>
      </c>
      <c r="E17">
        <v>2</v>
      </c>
      <c r="F17">
        <v>1666</v>
      </c>
      <c r="G17" t="s">
        <v>40</v>
      </c>
      <c r="H17">
        <v>3332</v>
      </c>
      <c r="I17">
        <v>2988.749631831693</v>
      </c>
      <c r="J17">
        <v>343.25036816830738</v>
      </c>
    </row>
    <row r="18" spans="1:10" x14ac:dyDescent="0.35">
      <c r="A18" s="1">
        <v>45441</v>
      </c>
      <c r="B18" t="s">
        <v>13</v>
      </c>
      <c r="C18" t="s">
        <v>18</v>
      </c>
      <c r="D18" t="s">
        <v>33</v>
      </c>
      <c r="E18">
        <v>16</v>
      </c>
      <c r="F18">
        <v>1438</v>
      </c>
      <c r="G18" t="s">
        <v>39</v>
      </c>
      <c r="H18">
        <v>23008</v>
      </c>
      <c r="I18">
        <v>18475.438419108192</v>
      </c>
      <c r="J18">
        <v>4532.5615808918083</v>
      </c>
    </row>
    <row r="19" spans="1:10" x14ac:dyDescent="0.35">
      <c r="A19" s="1">
        <v>45600</v>
      </c>
      <c r="B19" t="s">
        <v>10</v>
      </c>
      <c r="C19" t="s">
        <v>18</v>
      </c>
      <c r="D19" t="s">
        <v>31</v>
      </c>
      <c r="E19">
        <v>3</v>
      </c>
      <c r="F19">
        <v>1090</v>
      </c>
      <c r="G19" t="s">
        <v>39</v>
      </c>
      <c r="H19">
        <v>3270</v>
      </c>
      <c r="I19">
        <v>2845.7385882075619</v>
      </c>
      <c r="J19">
        <v>424.26141179243768</v>
      </c>
    </row>
    <row r="20" spans="1:10" x14ac:dyDescent="0.35">
      <c r="A20" s="1">
        <v>45549</v>
      </c>
      <c r="B20" t="s">
        <v>12</v>
      </c>
      <c r="C20" t="s">
        <v>24</v>
      </c>
      <c r="D20" t="s">
        <v>33</v>
      </c>
      <c r="E20">
        <v>8</v>
      </c>
      <c r="F20">
        <v>1920</v>
      </c>
      <c r="G20" t="s">
        <v>40</v>
      </c>
      <c r="H20">
        <v>15360</v>
      </c>
      <c r="I20">
        <v>12786.579152645099</v>
      </c>
      <c r="J20">
        <v>2573.420847354897</v>
      </c>
    </row>
    <row r="21" spans="1:10" x14ac:dyDescent="0.35">
      <c r="A21" s="1">
        <v>45635</v>
      </c>
      <c r="B21" t="s">
        <v>10</v>
      </c>
      <c r="C21" t="s">
        <v>24</v>
      </c>
      <c r="D21" t="s">
        <v>37</v>
      </c>
      <c r="E21">
        <v>6</v>
      </c>
      <c r="F21">
        <v>717</v>
      </c>
      <c r="G21" t="s">
        <v>40</v>
      </c>
      <c r="H21">
        <v>4302</v>
      </c>
      <c r="I21">
        <v>3277.743938080549</v>
      </c>
      <c r="J21">
        <v>1024.256061919451</v>
      </c>
    </row>
    <row r="22" spans="1:10" x14ac:dyDescent="0.35">
      <c r="A22" s="1">
        <v>45585</v>
      </c>
      <c r="B22" t="s">
        <v>11</v>
      </c>
      <c r="C22" t="s">
        <v>24</v>
      </c>
      <c r="D22" t="s">
        <v>33</v>
      </c>
      <c r="E22">
        <v>16</v>
      </c>
      <c r="F22">
        <v>1859</v>
      </c>
      <c r="G22" t="s">
        <v>40</v>
      </c>
      <c r="H22">
        <v>29744</v>
      </c>
      <c r="I22">
        <v>19173.18054615489</v>
      </c>
      <c r="J22">
        <v>10570.81945384511</v>
      </c>
    </row>
    <row r="23" spans="1:10" x14ac:dyDescent="0.35">
      <c r="A23" s="1">
        <v>45483</v>
      </c>
      <c r="B23" t="s">
        <v>13</v>
      </c>
      <c r="C23" t="s">
        <v>17</v>
      </c>
      <c r="D23" t="s">
        <v>37</v>
      </c>
      <c r="E23">
        <v>16</v>
      </c>
      <c r="F23">
        <v>372</v>
      </c>
      <c r="G23" t="s">
        <v>38</v>
      </c>
      <c r="H23">
        <v>5952</v>
      </c>
      <c r="I23">
        <v>4193.73958055197</v>
      </c>
      <c r="J23">
        <v>1758.26041944803</v>
      </c>
    </row>
    <row r="24" spans="1:10" x14ac:dyDescent="0.35">
      <c r="A24" s="1">
        <v>45568</v>
      </c>
      <c r="B24" t="s">
        <v>10</v>
      </c>
      <c r="C24" t="s">
        <v>20</v>
      </c>
      <c r="D24" t="s">
        <v>34</v>
      </c>
      <c r="E24">
        <v>7</v>
      </c>
      <c r="F24">
        <v>331</v>
      </c>
      <c r="G24" t="s">
        <v>38</v>
      </c>
      <c r="H24">
        <v>2317</v>
      </c>
      <c r="I24">
        <v>1795.9578305881121</v>
      </c>
      <c r="J24">
        <v>521.04216941188815</v>
      </c>
    </row>
    <row r="25" spans="1:10" x14ac:dyDescent="0.35">
      <c r="A25" s="1">
        <v>45452</v>
      </c>
      <c r="B25" t="s">
        <v>10</v>
      </c>
      <c r="C25" t="s">
        <v>19</v>
      </c>
      <c r="D25" t="s">
        <v>36</v>
      </c>
      <c r="E25">
        <v>13</v>
      </c>
      <c r="F25">
        <v>1543</v>
      </c>
      <c r="G25" t="s">
        <v>40</v>
      </c>
      <c r="H25">
        <v>20059</v>
      </c>
      <c r="I25">
        <v>17274.604284964509</v>
      </c>
      <c r="J25">
        <v>2784.395715035495</v>
      </c>
    </row>
    <row r="26" spans="1:10" x14ac:dyDescent="0.35">
      <c r="A26" s="1">
        <v>45605</v>
      </c>
      <c r="B26" t="s">
        <v>12</v>
      </c>
      <c r="C26" t="s">
        <v>24</v>
      </c>
      <c r="D26" t="s">
        <v>30</v>
      </c>
      <c r="E26">
        <v>13</v>
      </c>
      <c r="F26">
        <v>867</v>
      </c>
      <c r="G26" t="s">
        <v>40</v>
      </c>
      <c r="H26">
        <v>11271</v>
      </c>
      <c r="I26">
        <v>7671.0709325829848</v>
      </c>
      <c r="J26">
        <v>3599.9290674170152</v>
      </c>
    </row>
    <row r="27" spans="1:10" x14ac:dyDescent="0.35">
      <c r="A27" s="1">
        <v>45313</v>
      </c>
      <c r="B27" t="s">
        <v>12</v>
      </c>
      <c r="C27" t="s">
        <v>21</v>
      </c>
      <c r="D27" t="s">
        <v>31</v>
      </c>
      <c r="E27">
        <v>5</v>
      </c>
      <c r="F27">
        <v>1565</v>
      </c>
      <c r="G27" t="s">
        <v>40</v>
      </c>
      <c r="H27">
        <v>7825</v>
      </c>
      <c r="I27">
        <v>4979.580075776189</v>
      </c>
      <c r="J27">
        <v>2845.419924223811</v>
      </c>
    </row>
    <row r="28" spans="1:10" x14ac:dyDescent="0.35">
      <c r="A28" s="1">
        <v>45544</v>
      </c>
      <c r="B28" t="s">
        <v>13</v>
      </c>
      <c r="C28" t="s">
        <v>21</v>
      </c>
      <c r="D28" t="s">
        <v>33</v>
      </c>
      <c r="E28">
        <v>18</v>
      </c>
      <c r="F28">
        <v>595</v>
      </c>
      <c r="G28" t="s">
        <v>40</v>
      </c>
      <c r="H28">
        <v>10710</v>
      </c>
      <c r="I28">
        <v>8221.5282363036276</v>
      </c>
      <c r="J28">
        <v>2488.4717636963719</v>
      </c>
    </row>
    <row r="29" spans="1:10" x14ac:dyDescent="0.35">
      <c r="A29" s="1">
        <v>45527</v>
      </c>
      <c r="B29" t="s">
        <v>10</v>
      </c>
      <c r="D29" t="s">
        <v>37</v>
      </c>
      <c r="E29">
        <v>15</v>
      </c>
      <c r="F29">
        <v>1147</v>
      </c>
      <c r="G29" t="s">
        <v>40</v>
      </c>
      <c r="H29">
        <v>17205</v>
      </c>
      <c r="I29">
        <v>11234.011060026951</v>
      </c>
      <c r="J29">
        <v>5970.9889399730546</v>
      </c>
    </row>
    <row r="30" spans="1:10" x14ac:dyDescent="0.35">
      <c r="A30" s="1">
        <v>45636</v>
      </c>
      <c r="B30" t="s">
        <v>10</v>
      </c>
      <c r="C30" t="s">
        <v>18</v>
      </c>
      <c r="D30" t="s">
        <v>37</v>
      </c>
      <c r="E30">
        <v>18</v>
      </c>
      <c r="F30">
        <v>1232</v>
      </c>
      <c r="G30" t="s">
        <v>39</v>
      </c>
      <c r="H30">
        <v>22176</v>
      </c>
      <c r="I30">
        <v>17366.214778944781</v>
      </c>
      <c r="J30">
        <v>4809.7852210552192</v>
      </c>
    </row>
    <row r="31" spans="1:10" x14ac:dyDescent="0.35">
      <c r="A31" s="1">
        <v>45340</v>
      </c>
      <c r="B31" t="s">
        <v>12</v>
      </c>
      <c r="C31" t="s">
        <v>24</v>
      </c>
      <c r="D31" t="s">
        <v>34</v>
      </c>
      <c r="E31">
        <v>2</v>
      </c>
      <c r="F31">
        <v>1826</v>
      </c>
      <c r="G31" t="s">
        <v>40</v>
      </c>
      <c r="H31">
        <v>3652</v>
      </c>
      <c r="I31">
        <v>2479.9140923851769</v>
      </c>
      <c r="J31">
        <v>1172.0859076148231</v>
      </c>
    </row>
    <row r="32" spans="1:10" x14ac:dyDescent="0.35">
      <c r="A32" s="1">
        <v>45350</v>
      </c>
      <c r="B32" t="s">
        <v>10</v>
      </c>
      <c r="C32" t="s">
        <v>19</v>
      </c>
      <c r="D32" t="s">
        <v>37</v>
      </c>
      <c r="E32">
        <v>10</v>
      </c>
      <c r="F32">
        <v>601</v>
      </c>
      <c r="G32" t="s">
        <v>40</v>
      </c>
      <c r="H32">
        <v>6010</v>
      </c>
      <c r="I32">
        <v>4022.4262967540262</v>
      </c>
      <c r="J32">
        <v>1987.573703245974</v>
      </c>
    </row>
    <row r="33" spans="1:10" x14ac:dyDescent="0.35">
      <c r="A33" s="1">
        <v>45461</v>
      </c>
      <c r="B33" t="s">
        <v>10</v>
      </c>
      <c r="C33" t="s">
        <v>24</v>
      </c>
      <c r="D33" t="s">
        <v>30</v>
      </c>
      <c r="E33">
        <v>13</v>
      </c>
      <c r="F33">
        <v>1982</v>
      </c>
      <c r="G33" t="s">
        <v>40</v>
      </c>
      <c r="H33">
        <v>25766</v>
      </c>
      <c r="I33">
        <v>18545.18747721113</v>
      </c>
      <c r="J33">
        <v>7220.8125227888704</v>
      </c>
    </row>
    <row r="34" spans="1:10" x14ac:dyDescent="0.35">
      <c r="A34" s="1">
        <v>45479</v>
      </c>
      <c r="B34" t="s">
        <v>10</v>
      </c>
      <c r="C34" t="s">
        <v>19</v>
      </c>
      <c r="D34" t="s">
        <v>32</v>
      </c>
      <c r="E34">
        <v>18</v>
      </c>
      <c r="F34">
        <v>124</v>
      </c>
      <c r="G34" t="s">
        <v>40</v>
      </c>
      <c r="H34">
        <v>2232</v>
      </c>
      <c r="I34">
        <v>1736.4012008608011</v>
      </c>
      <c r="J34">
        <v>495.5987991391994</v>
      </c>
    </row>
    <row r="35" spans="1:10" x14ac:dyDescent="0.35">
      <c r="A35" s="1">
        <v>45562</v>
      </c>
      <c r="B35" t="s">
        <v>12</v>
      </c>
      <c r="C35" t="s">
        <v>21</v>
      </c>
      <c r="D35" t="s">
        <v>35</v>
      </c>
      <c r="E35">
        <v>15</v>
      </c>
      <c r="F35">
        <v>1310</v>
      </c>
      <c r="G35" t="s">
        <v>40</v>
      </c>
      <c r="H35">
        <v>19650</v>
      </c>
      <c r="I35">
        <v>15004.6476820362</v>
      </c>
      <c r="J35">
        <v>4645.3523179638014</v>
      </c>
    </row>
    <row r="36" spans="1:10" x14ac:dyDescent="0.35">
      <c r="A36" s="1">
        <v>45481</v>
      </c>
      <c r="B36" t="s">
        <v>13</v>
      </c>
      <c r="C36" t="s">
        <v>24</v>
      </c>
      <c r="D36" t="s">
        <v>30</v>
      </c>
      <c r="F36">
        <v>387</v>
      </c>
      <c r="G36" t="s">
        <v>40</v>
      </c>
    </row>
    <row r="37" spans="1:10" x14ac:dyDescent="0.35">
      <c r="A37" s="1">
        <v>45466</v>
      </c>
      <c r="B37" t="s">
        <v>11</v>
      </c>
      <c r="C37" t="s">
        <v>17</v>
      </c>
      <c r="D37" t="s">
        <v>36</v>
      </c>
      <c r="E37">
        <v>15</v>
      </c>
      <c r="F37">
        <v>1751</v>
      </c>
      <c r="G37" t="s">
        <v>38</v>
      </c>
      <c r="H37">
        <v>26265</v>
      </c>
      <c r="I37">
        <v>22780.553836355379</v>
      </c>
      <c r="J37">
        <v>3484.4461636446208</v>
      </c>
    </row>
    <row r="38" spans="1:10" x14ac:dyDescent="0.35">
      <c r="A38" s="1">
        <v>45342</v>
      </c>
      <c r="B38" t="s">
        <v>13</v>
      </c>
      <c r="C38" t="s">
        <v>23</v>
      </c>
      <c r="D38" t="s">
        <v>30</v>
      </c>
      <c r="E38">
        <v>13</v>
      </c>
      <c r="F38">
        <v>437</v>
      </c>
      <c r="G38" t="s">
        <v>39</v>
      </c>
      <c r="H38">
        <v>5681</v>
      </c>
      <c r="I38">
        <v>3595.871841019703</v>
      </c>
      <c r="J38">
        <v>2085.128158980297</v>
      </c>
    </row>
    <row r="39" spans="1:10" x14ac:dyDescent="0.35">
      <c r="A39" s="1">
        <v>45655</v>
      </c>
      <c r="B39" t="s">
        <v>11</v>
      </c>
      <c r="C39" t="s">
        <v>17</v>
      </c>
      <c r="D39" t="s">
        <v>34</v>
      </c>
      <c r="E39">
        <v>18</v>
      </c>
      <c r="F39">
        <v>1160</v>
      </c>
      <c r="G39" t="s">
        <v>38</v>
      </c>
      <c r="H39">
        <v>20880</v>
      </c>
      <c r="I39">
        <v>12775.224815097639</v>
      </c>
      <c r="J39">
        <v>8104.7751849023643</v>
      </c>
    </row>
    <row r="40" spans="1:10" x14ac:dyDescent="0.35">
      <c r="A40" s="1">
        <v>45346</v>
      </c>
      <c r="B40" t="s">
        <v>10</v>
      </c>
      <c r="C40" t="s">
        <v>21</v>
      </c>
      <c r="D40" t="s">
        <v>34</v>
      </c>
      <c r="E40">
        <v>15</v>
      </c>
      <c r="F40">
        <v>1917</v>
      </c>
      <c r="G40" t="s">
        <v>40</v>
      </c>
      <c r="H40">
        <v>28755</v>
      </c>
      <c r="I40">
        <v>22452.245633032559</v>
      </c>
      <c r="J40">
        <v>6302.7543669674378</v>
      </c>
    </row>
    <row r="41" spans="1:10" x14ac:dyDescent="0.35">
      <c r="A41" s="1">
        <v>45535</v>
      </c>
      <c r="B41" t="s">
        <v>13</v>
      </c>
      <c r="C41" t="s">
        <v>19</v>
      </c>
      <c r="D41" t="s">
        <v>30</v>
      </c>
      <c r="E41">
        <v>11</v>
      </c>
      <c r="F41">
        <v>236</v>
      </c>
      <c r="G41" t="s">
        <v>40</v>
      </c>
      <c r="H41">
        <v>2596</v>
      </c>
      <c r="I41">
        <v>1653.7095024893929</v>
      </c>
      <c r="J41">
        <v>942.29049751060688</v>
      </c>
    </row>
    <row r="42" spans="1:10" x14ac:dyDescent="0.35">
      <c r="A42" s="1">
        <v>45611</v>
      </c>
      <c r="B42" t="s">
        <v>11</v>
      </c>
      <c r="C42" t="s">
        <v>17</v>
      </c>
      <c r="D42" t="s">
        <v>33</v>
      </c>
      <c r="E42">
        <v>19</v>
      </c>
      <c r="F42">
        <v>607</v>
      </c>
      <c r="G42" t="s">
        <v>38</v>
      </c>
      <c r="H42">
        <v>11533</v>
      </c>
      <c r="I42">
        <v>8666.6717283237776</v>
      </c>
      <c r="J42">
        <v>2866.3282716762219</v>
      </c>
    </row>
    <row r="43" spans="1:10" x14ac:dyDescent="0.35">
      <c r="A43" s="1">
        <v>45422</v>
      </c>
      <c r="B43" t="s">
        <v>12</v>
      </c>
      <c r="C43" t="s">
        <v>19</v>
      </c>
      <c r="D43" t="s">
        <v>32</v>
      </c>
      <c r="E43">
        <v>3</v>
      </c>
      <c r="F43">
        <v>326</v>
      </c>
      <c r="G43" t="s">
        <v>40</v>
      </c>
      <c r="H43">
        <v>978</v>
      </c>
      <c r="I43">
        <v>866.05028164578619</v>
      </c>
      <c r="J43">
        <v>111.9497183542138</v>
      </c>
    </row>
    <row r="44" spans="1:10" x14ac:dyDescent="0.35">
      <c r="A44" s="1">
        <v>45598</v>
      </c>
      <c r="B44" t="s">
        <v>12</v>
      </c>
      <c r="C44" t="s">
        <v>17</v>
      </c>
      <c r="D44" t="s">
        <v>33</v>
      </c>
      <c r="E44">
        <v>7</v>
      </c>
      <c r="F44">
        <v>419</v>
      </c>
      <c r="G44" t="s">
        <v>38</v>
      </c>
      <c r="H44">
        <v>2933</v>
      </c>
      <c r="I44">
        <v>2374.4807808513101</v>
      </c>
      <c r="J44">
        <v>558.51921914869035</v>
      </c>
    </row>
    <row r="45" spans="1:10" x14ac:dyDescent="0.35">
      <c r="A45" s="1">
        <v>45426</v>
      </c>
      <c r="B45" t="s">
        <v>13</v>
      </c>
      <c r="C45" t="s">
        <v>17</v>
      </c>
      <c r="D45" t="s">
        <v>33</v>
      </c>
      <c r="E45">
        <v>14</v>
      </c>
      <c r="F45">
        <v>1963</v>
      </c>
      <c r="G45" t="s">
        <v>38</v>
      </c>
      <c r="H45">
        <v>27482</v>
      </c>
      <c r="I45">
        <v>21579.882522747379</v>
      </c>
      <c r="J45">
        <v>5902.1174772526247</v>
      </c>
    </row>
    <row r="46" spans="1:10" x14ac:dyDescent="0.35">
      <c r="A46" s="1">
        <v>45312</v>
      </c>
      <c r="B46" t="s">
        <v>13</v>
      </c>
      <c r="C46" t="s">
        <v>19</v>
      </c>
      <c r="D46" t="s">
        <v>30</v>
      </c>
      <c r="E46">
        <v>14</v>
      </c>
      <c r="F46">
        <v>1015</v>
      </c>
      <c r="G46" t="s">
        <v>40</v>
      </c>
      <c r="H46">
        <v>14210</v>
      </c>
      <c r="I46">
        <v>10976.39467363053</v>
      </c>
      <c r="J46">
        <v>3233.6053263694671</v>
      </c>
    </row>
    <row r="47" spans="1:10" x14ac:dyDescent="0.35">
      <c r="A47" s="1">
        <v>45620</v>
      </c>
      <c r="B47" t="s">
        <v>10</v>
      </c>
      <c r="C47" t="s">
        <v>20</v>
      </c>
      <c r="D47" t="s">
        <v>31</v>
      </c>
      <c r="E47">
        <v>13</v>
      </c>
      <c r="F47">
        <v>1305</v>
      </c>
      <c r="G47" t="s">
        <v>38</v>
      </c>
      <c r="H47">
        <v>16965</v>
      </c>
      <c r="I47">
        <v>11092.765024069829</v>
      </c>
      <c r="J47">
        <v>5872.2349759301724</v>
      </c>
    </row>
    <row r="48" spans="1:10" x14ac:dyDescent="0.35">
      <c r="A48" s="1">
        <v>45458</v>
      </c>
      <c r="B48" t="s">
        <v>13</v>
      </c>
      <c r="C48" t="s">
        <v>17</v>
      </c>
      <c r="D48" t="s">
        <v>31</v>
      </c>
      <c r="E48">
        <v>12</v>
      </c>
      <c r="F48">
        <v>1997</v>
      </c>
      <c r="G48" t="s">
        <v>38</v>
      </c>
      <c r="H48">
        <v>23964</v>
      </c>
      <c r="I48">
        <v>17488.79174081637</v>
      </c>
      <c r="J48">
        <v>6475.2082591836333</v>
      </c>
    </row>
    <row r="49" spans="1:10" x14ac:dyDescent="0.35">
      <c r="A49" s="1">
        <v>45565</v>
      </c>
      <c r="B49" t="s">
        <v>10</v>
      </c>
      <c r="C49" t="s">
        <v>24</v>
      </c>
      <c r="D49" t="s">
        <v>31</v>
      </c>
      <c r="E49">
        <v>9</v>
      </c>
      <c r="F49">
        <v>185</v>
      </c>
      <c r="G49" t="s">
        <v>40</v>
      </c>
      <c r="H49">
        <v>1665</v>
      </c>
      <c r="I49">
        <v>1170.0904919296979</v>
      </c>
      <c r="J49">
        <v>494.90950807030231</v>
      </c>
    </row>
    <row r="50" spans="1:10" x14ac:dyDescent="0.35">
      <c r="A50" s="1">
        <v>45380</v>
      </c>
      <c r="B50" t="s">
        <v>10</v>
      </c>
      <c r="C50" t="s">
        <v>23</v>
      </c>
      <c r="D50" t="s">
        <v>32</v>
      </c>
      <c r="E50">
        <v>1</v>
      </c>
      <c r="F50">
        <v>1590</v>
      </c>
      <c r="G50" t="s">
        <v>39</v>
      </c>
      <c r="H50">
        <v>1590</v>
      </c>
      <c r="I50">
        <v>1408.616451699924</v>
      </c>
      <c r="J50">
        <v>181.3835483000762</v>
      </c>
    </row>
    <row r="51" spans="1:10" x14ac:dyDescent="0.35">
      <c r="A51" s="1">
        <v>45607</v>
      </c>
      <c r="B51" t="s">
        <v>12</v>
      </c>
      <c r="C51" t="s">
        <v>21</v>
      </c>
      <c r="D51" t="s">
        <v>33</v>
      </c>
      <c r="E51">
        <v>19</v>
      </c>
      <c r="F51">
        <v>1025</v>
      </c>
      <c r="G51" t="s">
        <v>40</v>
      </c>
      <c r="H51">
        <v>19475</v>
      </c>
      <c r="I51">
        <v>13100.75595178346</v>
      </c>
      <c r="J51">
        <v>6374.2440482165384</v>
      </c>
    </row>
    <row r="52" spans="1:10" x14ac:dyDescent="0.35">
      <c r="A52" s="1">
        <v>45305</v>
      </c>
      <c r="B52" t="s">
        <v>12</v>
      </c>
      <c r="C52" t="s">
        <v>20</v>
      </c>
      <c r="D52" t="s">
        <v>35</v>
      </c>
      <c r="E52">
        <v>11</v>
      </c>
      <c r="F52">
        <v>152</v>
      </c>
      <c r="G52" t="s">
        <v>38</v>
      </c>
      <c r="H52">
        <v>1672</v>
      </c>
      <c r="I52">
        <v>1239.712611892259</v>
      </c>
      <c r="J52">
        <v>432.28738810774081</v>
      </c>
    </row>
    <row r="53" spans="1:10" x14ac:dyDescent="0.35">
      <c r="A53" s="1">
        <v>45533</v>
      </c>
      <c r="B53" t="s">
        <v>11</v>
      </c>
      <c r="C53" t="s">
        <v>19</v>
      </c>
      <c r="D53" t="s">
        <v>36</v>
      </c>
      <c r="E53">
        <v>19</v>
      </c>
      <c r="F53">
        <v>959</v>
      </c>
      <c r="G53" t="s">
        <v>40</v>
      </c>
      <c r="H53">
        <v>18221</v>
      </c>
      <c r="I53">
        <v>16060.423223476961</v>
      </c>
      <c r="J53">
        <v>2160.5767765230362</v>
      </c>
    </row>
    <row r="54" spans="1:10" x14ac:dyDescent="0.35">
      <c r="A54" s="1">
        <v>45556</v>
      </c>
      <c r="B54" t="s">
        <v>12</v>
      </c>
      <c r="C54" t="s">
        <v>20</v>
      </c>
      <c r="D54" t="s">
        <v>31</v>
      </c>
      <c r="E54">
        <v>18</v>
      </c>
      <c r="F54">
        <v>966</v>
      </c>
      <c r="G54" t="s">
        <v>38</v>
      </c>
      <c r="H54">
        <v>17388</v>
      </c>
      <c r="I54">
        <v>14549.481955384441</v>
      </c>
      <c r="J54">
        <v>2838.5180446155568</v>
      </c>
    </row>
    <row r="55" spans="1:10" x14ac:dyDescent="0.35">
      <c r="A55" s="1">
        <v>45637</v>
      </c>
      <c r="B55" t="s">
        <v>12</v>
      </c>
      <c r="D55" t="s">
        <v>31</v>
      </c>
      <c r="F55">
        <v>1358</v>
      </c>
      <c r="G55" t="s">
        <v>40</v>
      </c>
    </row>
    <row r="56" spans="1:10" x14ac:dyDescent="0.35">
      <c r="A56" s="1">
        <v>45344</v>
      </c>
      <c r="B56" t="s">
        <v>13</v>
      </c>
      <c r="C56" t="s">
        <v>22</v>
      </c>
      <c r="D56" t="s">
        <v>34</v>
      </c>
      <c r="E56">
        <v>1</v>
      </c>
      <c r="F56">
        <v>1902</v>
      </c>
      <c r="G56" t="s">
        <v>40</v>
      </c>
      <c r="H56">
        <v>1902</v>
      </c>
      <c r="I56">
        <v>1488.3132435868731</v>
      </c>
      <c r="J56">
        <v>413.68675641312689</v>
      </c>
    </row>
    <row r="57" spans="1:10" x14ac:dyDescent="0.35">
      <c r="A57" s="1">
        <v>45631</v>
      </c>
      <c r="B57" t="s">
        <v>12</v>
      </c>
      <c r="C57" t="s">
        <v>17</v>
      </c>
      <c r="D57" t="s">
        <v>33</v>
      </c>
      <c r="E57">
        <v>19</v>
      </c>
      <c r="F57">
        <v>1922</v>
      </c>
      <c r="G57" t="s">
        <v>38</v>
      </c>
      <c r="H57">
        <v>36518</v>
      </c>
      <c r="I57">
        <v>25567.5685084836</v>
      </c>
      <c r="J57">
        <v>10950.4314915164</v>
      </c>
    </row>
    <row r="58" spans="1:10" x14ac:dyDescent="0.35">
      <c r="A58" s="1">
        <v>45383</v>
      </c>
      <c r="B58" t="s">
        <v>11</v>
      </c>
      <c r="D58" t="s">
        <v>33</v>
      </c>
      <c r="E58">
        <v>17</v>
      </c>
      <c r="F58">
        <v>532</v>
      </c>
      <c r="G58" t="s">
        <v>38</v>
      </c>
      <c r="H58">
        <v>9044</v>
      </c>
      <c r="I58">
        <v>7669.2661707890857</v>
      </c>
      <c r="J58">
        <v>1374.7338292109141</v>
      </c>
    </row>
    <row r="59" spans="1:10" x14ac:dyDescent="0.35">
      <c r="A59" s="1">
        <v>45555</v>
      </c>
      <c r="B59" t="s">
        <v>13</v>
      </c>
      <c r="C59" t="s">
        <v>24</v>
      </c>
      <c r="D59" t="s">
        <v>32</v>
      </c>
      <c r="E59">
        <v>5</v>
      </c>
      <c r="F59">
        <v>1619</v>
      </c>
      <c r="G59" t="s">
        <v>40</v>
      </c>
      <c r="H59">
        <v>8095</v>
      </c>
      <c r="I59">
        <v>5564.8015550302307</v>
      </c>
      <c r="J59">
        <v>2530.1984449697688</v>
      </c>
    </row>
    <row r="60" spans="1:10" x14ac:dyDescent="0.35">
      <c r="A60" s="1">
        <v>45326</v>
      </c>
      <c r="B60" t="s">
        <v>11</v>
      </c>
      <c r="C60" t="s">
        <v>23</v>
      </c>
      <c r="D60" t="s">
        <v>32</v>
      </c>
      <c r="E60">
        <v>3</v>
      </c>
      <c r="F60">
        <v>1098</v>
      </c>
      <c r="G60" t="s">
        <v>39</v>
      </c>
      <c r="H60">
        <v>3294</v>
      </c>
      <c r="I60">
        <v>2139.2284828493262</v>
      </c>
      <c r="J60">
        <v>1154.7715171506741</v>
      </c>
    </row>
    <row r="61" spans="1:10" x14ac:dyDescent="0.35">
      <c r="A61" s="1">
        <v>45497</v>
      </c>
      <c r="B61" t="s">
        <v>12</v>
      </c>
      <c r="C61" t="s">
        <v>21</v>
      </c>
      <c r="D61" t="s">
        <v>31</v>
      </c>
      <c r="E61">
        <v>2</v>
      </c>
      <c r="F61">
        <v>199</v>
      </c>
      <c r="G61" t="s">
        <v>40</v>
      </c>
      <c r="H61">
        <v>398</v>
      </c>
      <c r="I61">
        <v>323.1308843962575</v>
      </c>
      <c r="J61">
        <v>74.8691156037425</v>
      </c>
    </row>
    <row r="62" spans="1:10" x14ac:dyDescent="0.35">
      <c r="A62" s="1">
        <v>45372</v>
      </c>
      <c r="B62" t="s">
        <v>11</v>
      </c>
      <c r="C62" t="s">
        <v>20</v>
      </c>
      <c r="D62" t="s">
        <v>33</v>
      </c>
      <c r="E62">
        <v>3</v>
      </c>
      <c r="F62">
        <v>1089</v>
      </c>
      <c r="G62" t="s">
        <v>38</v>
      </c>
      <c r="H62">
        <v>3267</v>
      </c>
      <c r="I62">
        <v>2586.440445830026</v>
      </c>
      <c r="J62">
        <v>680.55955416997404</v>
      </c>
    </row>
    <row r="63" spans="1:10" x14ac:dyDescent="0.35">
      <c r="A63" s="1">
        <v>45341</v>
      </c>
      <c r="B63" t="s">
        <v>13</v>
      </c>
      <c r="C63" t="s">
        <v>22</v>
      </c>
      <c r="D63" t="s">
        <v>35</v>
      </c>
      <c r="E63">
        <v>8</v>
      </c>
      <c r="F63">
        <v>698</v>
      </c>
      <c r="G63" t="s">
        <v>40</v>
      </c>
      <c r="H63">
        <v>5584</v>
      </c>
      <c r="I63">
        <v>4822.8152016278063</v>
      </c>
      <c r="J63">
        <v>761.18479837219365</v>
      </c>
    </row>
    <row r="64" spans="1:10" x14ac:dyDescent="0.35">
      <c r="A64" s="1">
        <v>45651</v>
      </c>
      <c r="B64" t="s">
        <v>10</v>
      </c>
      <c r="C64" t="s">
        <v>17</v>
      </c>
      <c r="D64" t="s">
        <v>36</v>
      </c>
      <c r="E64">
        <v>16</v>
      </c>
      <c r="F64">
        <v>502</v>
      </c>
      <c r="G64" t="s">
        <v>38</v>
      </c>
      <c r="H64">
        <v>8032</v>
      </c>
      <c r="I64">
        <v>7137.0538964335556</v>
      </c>
      <c r="J64">
        <v>894.94610356644353</v>
      </c>
    </row>
    <row r="65" spans="1:10" x14ac:dyDescent="0.35">
      <c r="A65" s="1">
        <v>45293</v>
      </c>
      <c r="B65" t="s">
        <v>11</v>
      </c>
      <c r="C65" t="s">
        <v>18</v>
      </c>
      <c r="D65" t="s">
        <v>30</v>
      </c>
      <c r="E65">
        <v>6</v>
      </c>
      <c r="F65">
        <v>495</v>
      </c>
      <c r="G65" t="s">
        <v>39</v>
      </c>
      <c r="H65">
        <v>2970</v>
      </c>
      <c r="I65">
        <v>2545.7630502170782</v>
      </c>
      <c r="J65">
        <v>424.23694978292218</v>
      </c>
    </row>
    <row r="66" spans="1:10" x14ac:dyDescent="0.35">
      <c r="A66" s="1">
        <v>45345</v>
      </c>
      <c r="B66" t="s">
        <v>11</v>
      </c>
      <c r="C66" t="s">
        <v>18</v>
      </c>
      <c r="D66" t="s">
        <v>33</v>
      </c>
      <c r="E66">
        <v>13</v>
      </c>
      <c r="F66">
        <v>1650</v>
      </c>
      <c r="G66" t="s">
        <v>39</v>
      </c>
      <c r="H66">
        <v>21450</v>
      </c>
      <c r="I66">
        <v>13256.24026748052</v>
      </c>
      <c r="J66">
        <v>8193.7597325194783</v>
      </c>
    </row>
    <row r="67" spans="1:10" x14ac:dyDescent="0.35">
      <c r="A67" s="1">
        <v>45397</v>
      </c>
      <c r="B67" t="s">
        <v>13</v>
      </c>
      <c r="C67" t="s">
        <v>21</v>
      </c>
      <c r="D67" t="s">
        <v>34</v>
      </c>
      <c r="E67">
        <v>16</v>
      </c>
      <c r="F67">
        <v>514</v>
      </c>
      <c r="G67" t="s">
        <v>40</v>
      </c>
      <c r="H67">
        <v>8224</v>
      </c>
      <c r="I67">
        <v>6573.8875418538519</v>
      </c>
      <c r="J67">
        <v>1650.1124581461479</v>
      </c>
    </row>
    <row r="68" spans="1:10" x14ac:dyDescent="0.35">
      <c r="A68" s="1">
        <v>45551</v>
      </c>
      <c r="B68" t="s">
        <v>13</v>
      </c>
      <c r="C68" t="s">
        <v>20</v>
      </c>
      <c r="D68" t="s">
        <v>30</v>
      </c>
      <c r="E68">
        <v>16</v>
      </c>
      <c r="F68">
        <v>1038</v>
      </c>
      <c r="G68" t="s">
        <v>38</v>
      </c>
      <c r="H68">
        <v>16608</v>
      </c>
      <c r="I68">
        <v>13874.65077385382</v>
      </c>
      <c r="J68">
        <v>2733.3492261461802</v>
      </c>
    </row>
    <row r="69" spans="1:10" x14ac:dyDescent="0.35">
      <c r="A69" s="1">
        <v>45601</v>
      </c>
      <c r="B69" t="s">
        <v>11</v>
      </c>
      <c r="C69" t="s">
        <v>17</v>
      </c>
      <c r="D69" t="s">
        <v>33</v>
      </c>
      <c r="E69">
        <v>3</v>
      </c>
      <c r="F69">
        <v>1736</v>
      </c>
      <c r="G69" t="s">
        <v>38</v>
      </c>
      <c r="H69">
        <v>5208</v>
      </c>
      <c r="I69">
        <v>4658.9654389247162</v>
      </c>
      <c r="J69">
        <v>549.03456107528382</v>
      </c>
    </row>
    <row r="70" spans="1:10" x14ac:dyDescent="0.35">
      <c r="A70" s="1">
        <v>45482</v>
      </c>
      <c r="B70" t="s">
        <v>12</v>
      </c>
      <c r="C70" t="s">
        <v>17</v>
      </c>
      <c r="D70" t="s">
        <v>37</v>
      </c>
      <c r="E70">
        <v>13</v>
      </c>
      <c r="F70">
        <v>776</v>
      </c>
      <c r="G70" t="s">
        <v>38</v>
      </c>
      <c r="H70">
        <v>10088</v>
      </c>
      <c r="I70">
        <v>7186.674956845035</v>
      </c>
      <c r="J70">
        <v>2901.325043154965</v>
      </c>
    </row>
    <row r="71" spans="1:10" x14ac:dyDescent="0.35">
      <c r="A71" s="1">
        <v>45509</v>
      </c>
      <c r="B71" t="s">
        <v>11</v>
      </c>
      <c r="C71" t="s">
        <v>22</v>
      </c>
      <c r="D71" t="s">
        <v>32</v>
      </c>
      <c r="E71">
        <v>14</v>
      </c>
      <c r="F71">
        <v>562</v>
      </c>
      <c r="G71" t="s">
        <v>40</v>
      </c>
      <c r="H71">
        <v>7868</v>
      </c>
      <c r="I71">
        <v>5121.7884985948176</v>
      </c>
      <c r="J71">
        <v>2746.2115014051819</v>
      </c>
    </row>
    <row r="72" spans="1:10" x14ac:dyDescent="0.35">
      <c r="A72" s="1">
        <v>45335</v>
      </c>
      <c r="B72" t="s">
        <v>13</v>
      </c>
      <c r="C72" t="s">
        <v>22</v>
      </c>
      <c r="D72" t="s">
        <v>34</v>
      </c>
      <c r="E72">
        <v>8</v>
      </c>
      <c r="F72">
        <v>640</v>
      </c>
      <c r="G72" t="s">
        <v>40</v>
      </c>
      <c r="H72">
        <v>5120</v>
      </c>
      <c r="I72">
        <v>4382.1051829205317</v>
      </c>
      <c r="J72">
        <v>737.89481707946834</v>
      </c>
    </row>
    <row r="73" spans="1:10" x14ac:dyDescent="0.35">
      <c r="A73" s="1">
        <v>45453</v>
      </c>
      <c r="B73" t="s">
        <v>10</v>
      </c>
      <c r="C73" t="s">
        <v>17</v>
      </c>
      <c r="D73" t="s">
        <v>36</v>
      </c>
      <c r="E73">
        <v>12</v>
      </c>
      <c r="F73">
        <v>1749</v>
      </c>
      <c r="G73" t="s">
        <v>38</v>
      </c>
      <c r="H73">
        <v>20988</v>
      </c>
      <c r="I73">
        <v>14591.69760460802</v>
      </c>
      <c r="J73">
        <v>6396.3023953919783</v>
      </c>
    </row>
    <row r="74" spans="1:10" x14ac:dyDescent="0.35">
      <c r="A74" s="1">
        <v>45493</v>
      </c>
      <c r="B74" t="s">
        <v>10</v>
      </c>
      <c r="C74" t="s">
        <v>19</v>
      </c>
      <c r="D74" t="s">
        <v>31</v>
      </c>
      <c r="E74">
        <v>8</v>
      </c>
      <c r="F74">
        <v>1742</v>
      </c>
      <c r="G74" t="s">
        <v>40</v>
      </c>
      <c r="H74">
        <v>13936</v>
      </c>
      <c r="I74">
        <v>10862.56248593497</v>
      </c>
      <c r="J74">
        <v>3073.4375140650341</v>
      </c>
    </row>
    <row r="75" spans="1:10" x14ac:dyDescent="0.35">
      <c r="A75" s="1">
        <v>45561</v>
      </c>
      <c r="B75" t="s">
        <v>12</v>
      </c>
      <c r="C75" t="s">
        <v>17</v>
      </c>
      <c r="D75" t="s">
        <v>34</v>
      </c>
      <c r="E75">
        <v>9</v>
      </c>
      <c r="F75">
        <v>1487</v>
      </c>
      <c r="G75" t="s">
        <v>38</v>
      </c>
      <c r="H75">
        <v>13383</v>
      </c>
      <c r="I75">
        <v>9595.1884888387722</v>
      </c>
      <c r="J75">
        <v>3787.8115111612278</v>
      </c>
    </row>
    <row r="76" spans="1:10" x14ac:dyDescent="0.35">
      <c r="A76" s="1">
        <v>45642</v>
      </c>
      <c r="B76" t="s">
        <v>11</v>
      </c>
      <c r="C76" t="s">
        <v>21</v>
      </c>
      <c r="D76" t="s">
        <v>33</v>
      </c>
      <c r="E76">
        <v>1</v>
      </c>
      <c r="F76">
        <v>1253</v>
      </c>
      <c r="G76" t="s">
        <v>40</v>
      </c>
      <c r="H76">
        <v>1253</v>
      </c>
      <c r="I76">
        <v>903.03443991558072</v>
      </c>
      <c r="J76">
        <v>349.96556008441928</v>
      </c>
    </row>
    <row r="77" spans="1:10" x14ac:dyDescent="0.35">
      <c r="A77" s="1">
        <v>45595</v>
      </c>
      <c r="B77" t="s">
        <v>10</v>
      </c>
      <c r="C77" t="s">
        <v>17</v>
      </c>
      <c r="D77" t="s">
        <v>31</v>
      </c>
      <c r="E77">
        <v>6</v>
      </c>
      <c r="F77">
        <v>183</v>
      </c>
      <c r="G77" t="s">
        <v>38</v>
      </c>
      <c r="H77">
        <v>1098</v>
      </c>
      <c r="I77">
        <v>900.07379944105253</v>
      </c>
      <c r="J77">
        <v>197.9262005589475</v>
      </c>
    </row>
    <row r="78" spans="1:10" x14ac:dyDescent="0.35">
      <c r="A78" s="1">
        <v>45562</v>
      </c>
      <c r="B78" t="s">
        <v>11</v>
      </c>
      <c r="C78" t="s">
        <v>24</v>
      </c>
      <c r="D78" t="s">
        <v>33</v>
      </c>
      <c r="E78">
        <v>19</v>
      </c>
      <c r="F78">
        <v>370</v>
      </c>
      <c r="G78" t="s">
        <v>40</v>
      </c>
      <c r="H78">
        <v>7030</v>
      </c>
      <c r="I78">
        <v>4980.351039341931</v>
      </c>
      <c r="J78">
        <v>2049.648960658069</v>
      </c>
    </row>
    <row r="79" spans="1:10" x14ac:dyDescent="0.35">
      <c r="A79" s="1">
        <v>45506</v>
      </c>
      <c r="B79" t="s">
        <v>13</v>
      </c>
      <c r="C79" t="s">
        <v>23</v>
      </c>
      <c r="D79" t="s">
        <v>31</v>
      </c>
      <c r="E79">
        <v>11</v>
      </c>
      <c r="F79">
        <v>343</v>
      </c>
      <c r="G79" t="s">
        <v>39</v>
      </c>
      <c r="H79">
        <v>3773</v>
      </c>
      <c r="I79">
        <v>3048.2917203712941</v>
      </c>
      <c r="J79">
        <v>724.7082796287059</v>
      </c>
    </row>
    <row r="80" spans="1:10" x14ac:dyDescent="0.35">
      <c r="A80" s="1">
        <v>45543</v>
      </c>
      <c r="B80" t="s">
        <v>10</v>
      </c>
      <c r="C80" t="s">
        <v>24</v>
      </c>
      <c r="D80" t="s">
        <v>36</v>
      </c>
      <c r="E80">
        <v>11</v>
      </c>
      <c r="F80">
        <v>487</v>
      </c>
      <c r="G80" t="s">
        <v>40</v>
      </c>
      <c r="H80">
        <v>5357</v>
      </c>
      <c r="I80">
        <v>3237.227260757395</v>
      </c>
      <c r="J80">
        <v>2119.772739242605</v>
      </c>
    </row>
    <row r="81" spans="1:10" x14ac:dyDescent="0.35">
      <c r="A81" s="1">
        <v>45481</v>
      </c>
      <c r="B81" t="s">
        <v>12</v>
      </c>
      <c r="C81" t="s">
        <v>24</v>
      </c>
      <c r="D81" t="s">
        <v>32</v>
      </c>
      <c r="E81">
        <v>13</v>
      </c>
      <c r="F81">
        <v>313</v>
      </c>
      <c r="G81" t="s">
        <v>40</v>
      </c>
      <c r="H81">
        <v>4069</v>
      </c>
      <c r="I81">
        <v>2837.6970689777309</v>
      </c>
      <c r="J81">
        <v>1231.3029310222689</v>
      </c>
    </row>
    <row r="82" spans="1:10" x14ac:dyDescent="0.35">
      <c r="A82" s="1">
        <v>45587</v>
      </c>
      <c r="B82" t="s">
        <v>13</v>
      </c>
      <c r="C82" t="s">
        <v>19</v>
      </c>
      <c r="D82" t="s">
        <v>36</v>
      </c>
      <c r="E82">
        <v>11</v>
      </c>
      <c r="F82">
        <v>917</v>
      </c>
      <c r="G82" t="s">
        <v>40</v>
      </c>
      <c r="H82">
        <v>10087</v>
      </c>
      <c r="I82">
        <v>7017.6591432793184</v>
      </c>
      <c r="J82">
        <v>3069.340856720682</v>
      </c>
    </row>
    <row r="83" spans="1:10" x14ac:dyDescent="0.35">
      <c r="A83" s="1">
        <v>45504</v>
      </c>
      <c r="B83" t="s">
        <v>12</v>
      </c>
      <c r="C83" t="s">
        <v>19</v>
      </c>
      <c r="D83" t="s">
        <v>37</v>
      </c>
      <c r="E83">
        <v>18</v>
      </c>
      <c r="F83">
        <v>1289</v>
      </c>
      <c r="G83" t="s">
        <v>40</v>
      </c>
      <c r="H83">
        <v>23202</v>
      </c>
      <c r="I83">
        <v>19133.54289101269</v>
      </c>
      <c r="J83">
        <v>4068.4571089873102</v>
      </c>
    </row>
    <row r="84" spans="1:10" x14ac:dyDescent="0.35">
      <c r="A84" s="1">
        <v>45499</v>
      </c>
      <c r="B84" t="s">
        <v>13</v>
      </c>
      <c r="C84" t="s">
        <v>18</v>
      </c>
      <c r="D84" t="s">
        <v>35</v>
      </c>
      <c r="E84">
        <v>15</v>
      </c>
      <c r="F84">
        <v>1914</v>
      </c>
      <c r="G84" t="s">
        <v>39</v>
      </c>
      <c r="H84">
        <v>28710</v>
      </c>
      <c r="I84">
        <v>19935.28044032873</v>
      </c>
      <c r="J84">
        <v>8774.71955967127</v>
      </c>
    </row>
    <row r="85" spans="1:10" x14ac:dyDescent="0.35">
      <c r="A85" s="1">
        <v>45528</v>
      </c>
      <c r="B85" t="s">
        <v>10</v>
      </c>
      <c r="C85" t="s">
        <v>17</v>
      </c>
      <c r="D85" t="s">
        <v>32</v>
      </c>
      <c r="E85">
        <v>1</v>
      </c>
      <c r="F85">
        <v>158</v>
      </c>
      <c r="G85" t="s">
        <v>38</v>
      </c>
      <c r="H85">
        <v>158</v>
      </c>
      <c r="I85">
        <v>124.8197060741049</v>
      </c>
      <c r="J85">
        <v>33.180293925895057</v>
      </c>
    </row>
    <row r="86" spans="1:10" x14ac:dyDescent="0.35">
      <c r="A86" s="1">
        <v>45629</v>
      </c>
      <c r="B86" t="s">
        <v>12</v>
      </c>
      <c r="C86" t="s">
        <v>24</v>
      </c>
      <c r="D86" t="s">
        <v>36</v>
      </c>
      <c r="E86">
        <v>7</v>
      </c>
      <c r="F86">
        <v>1725</v>
      </c>
      <c r="G86" t="s">
        <v>40</v>
      </c>
      <c r="H86">
        <v>12075</v>
      </c>
      <c r="I86">
        <v>9739.1796466357409</v>
      </c>
      <c r="J86">
        <v>2335.8203533642591</v>
      </c>
    </row>
    <row r="87" spans="1:10" x14ac:dyDescent="0.35">
      <c r="A87" s="1">
        <v>45344</v>
      </c>
      <c r="B87" t="s">
        <v>12</v>
      </c>
      <c r="C87" t="s">
        <v>19</v>
      </c>
      <c r="D87" t="s">
        <v>37</v>
      </c>
      <c r="E87">
        <v>13</v>
      </c>
      <c r="F87">
        <v>982</v>
      </c>
      <c r="G87" t="s">
        <v>40</v>
      </c>
      <c r="H87">
        <v>12766</v>
      </c>
      <c r="I87">
        <v>10181.238149166111</v>
      </c>
      <c r="J87">
        <v>2584.7618508338869</v>
      </c>
    </row>
    <row r="88" spans="1:10" x14ac:dyDescent="0.35">
      <c r="A88" s="1">
        <v>45571</v>
      </c>
      <c r="B88" t="s">
        <v>13</v>
      </c>
      <c r="C88" t="s">
        <v>22</v>
      </c>
      <c r="D88" t="s">
        <v>35</v>
      </c>
      <c r="E88">
        <v>12</v>
      </c>
      <c r="F88">
        <v>942</v>
      </c>
      <c r="G88" t="s">
        <v>40</v>
      </c>
      <c r="H88">
        <v>11304</v>
      </c>
      <c r="I88">
        <v>8828.2895311722314</v>
      </c>
      <c r="J88">
        <v>2475.7104688277691</v>
      </c>
    </row>
    <row r="89" spans="1:10" x14ac:dyDescent="0.35">
      <c r="A89" s="1">
        <v>45508</v>
      </c>
      <c r="B89" t="s">
        <v>12</v>
      </c>
      <c r="C89" t="s">
        <v>17</v>
      </c>
      <c r="D89" t="s">
        <v>37</v>
      </c>
      <c r="E89">
        <v>18</v>
      </c>
      <c r="F89">
        <v>1023</v>
      </c>
      <c r="G89" t="s">
        <v>38</v>
      </c>
      <c r="H89">
        <v>18414</v>
      </c>
      <c r="I89">
        <v>13333.302199175931</v>
      </c>
      <c r="J89">
        <v>5080.6978008240731</v>
      </c>
    </row>
    <row r="90" spans="1:10" x14ac:dyDescent="0.35">
      <c r="A90" s="1">
        <v>45543</v>
      </c>
      <c r="B90" t="s">
        <v>13</v>
      </c>
      <c r="C90" t="s">
        <v>21</v>
      </c>
      <c r="D90" t="s">
        <v>33</v>
      </c>
      <c r="E90">
        <v>19</v>
      </c>
      <c r="F90">
        <v>1627</v>
      </c>
      <c r="G90" t="s">
        <v>40</v>
      </c>
      <c r="H90">
        <v>30913</v>
      </c>
      <c r="I90">
        <v>22009.793032541889</v>
      </c>
      <c r="J90">
        <v>8903.2069674581107</v>
      </c>
    </row>
    <row r="91" spans="1:10" x14ac:dyDescent="0.35">
      <c r="A91" s="1">
        <v>45479</v>
      </c>
      <c r="B91" t="s">
        <v>13</v>
      </c>
      <c r="C91" t="s">
        <v>23</v>
      </c>
      <c r="D91" t="s">
        <v>30</v>
      </c>
      <c r="E91">
        <v>15</v>
      </c>
      <c r="F91">
        <v>1829</v>
      </c>
      <c r="G91" t="s">
        <v>39</v>
      </c>
      <c r="H91">
        <v>27435</v>
      </c>
      <c r="I91">
        <v>21107.809092462761</v>
      </c>
      <c r="J91">
        <v>6327.1909075372387</v>
      </c>
    </row>
    <row r="92" spans="1:10" x14ac:dyDescent="0.35">
      <c r="A92" s="1">
        <v>45332</v>
      </c>
      <c r="B92" t="s">
        <v>13</v>
      </c>
      <c r="C92" t="s">
        <v>20</v>
      </c>
      <c r="D92" t="s">
        <v>33</v>
      </c>
      <c r="E92">
        <v>8</v>
      </c>
      <c r="F92">
        <v>222</v>
      </c>
      <c r="G92" t="s">
        <v>38</v>
      </c>
      <c r="H92">
        <v>1776</v>
      </c>
      <c r="I92">
        <v>1099.5410130036489</v>
      </c>
      <c r="J92">
        <v>676.45898699635086</v>
      </c>
    </row>
    <row r="93" spans="1:10" x14ac:dyDescent="0.35">
      <c r="A93" s="1">
        <v>45448</v>
      </c>
      <c r="B93" t="s">
        <v>13</v>
      </c>
      <c r="C93" t="s">
        <v>17</v>
      </c>
      <c r="D93" t="s">
        <v>31</v>
      </c>
      <c r="E93">
        <v>19</v>
      </c>
      <c r="F93">
        <v>1771</v>
      </c>
      <c r="G93" t="s">
        <v>38</v>
      </c>
      <c r="H93">
        <v>33649</v>
      </c>
      <c r="I93">
        <v>29030.538559557539</v>
      </c>
      <c r="J93">
        <v>4618.461440442461</v>
      </c>
    </row>
    <row r="94" spans="1:10" x14ac:dyDescent="0.35">
      <c r="A94" s="1">
        <v>45306</v>
      </c>
      <c r="B94" t="s">
        <v>10</v>
      </c>
      <c r="C94" t="s">
        <v>20</v>
      </c>
      <c r="D94" t="s">
        <v>32</v>
      </c>
      <c r="E94">
        <v>10</v>
      </c>
      <c r="F94">
        <v>1536</v>
      </c>
      <c r="G94" t="s">
        <v>38</v>
      </c>
      <c r="H94">
        <v>15360</v>
      </c>
      <c r="I94">
        <v>13019.052179083819</v>
      </c>
      <c r="J94">
        <v>2340.9478209161789</v>
      </c>
    </row>
    <row r="95" spans="1:10" x14ac:dyDescent="0.35">
      <c r="A95" s="1">
        <v>45592</v>
      </c>
      <c r="B95" t="s">
        <v>13</v>
      </c>
      <c r="C95" t="s">
        <v>24</v>
      </c>
      <c r="D95" t="s">
        <v>33</v>
      </c>
      <c r="E95">
        <v>7</v>
      </c>
      <c r="F95">
        <v>1262</v>
      </c>
      <c r="G95" t="s">
        <v>40</v>
      </c>
      <c r="H95">
        <v>8834</v>
      </c>
      <c r="I95">
        <v>6218.38877709196</v>
      </c>
      <c r="J95">
        <v>2615.61122290804</v>
      </c>
    </row>
    <row r="96" spans="1:10" x14ac:dyDescent="0.35">
      <c r="A96" s="1">
        <v>45356</v>
      </c>
      <c r="B96" t="s">
        <v>11</v>
      </c>
      <c r="C96" t="s">
        <v>23</v>
      </c>
      <c r="D96" t="s">
        <v>34</v>
      </c>
      <c r="E96">
        <v>18</v>
      </c>
      <c r="F96">
        <v>1352</v>
      </c>
      <c r="G96" t="s">
        <v>39</v>
      </c>
      <c r="H96">
        <v>24336</v>
      </c>
      <c r="I96">
        <v>18739.83305601382</v>
      </c>
      <c r="J96">
        <v>5596.1669439861826</v>
      </c>
    </row>
    <row r="97" spans="1:10" x14ac:dyDescent="0.35">
      <c r="A97" s="1">
        <v>45636</v>
      </c>
      <c r="B97" t="s">
        <v>12</v>
      </c>
      <c r="C97" t="s">
        <v>20</v>
      </c>
      <c r="D97" t="s">
        <v>37</v>
      </c>
      <c r="E97">
        <v>16</v>
      </c>
      <c r="F97">
        <v>1397</v>
      </c>
      <c r="G97" t="s">
        <v>38</v>
      </c>
      <c r="H97">
        <v>22352</v>
      </c>
      <c r="I97">
        <v>19662.346052945741</v>
      </c>
      <c r="J97">
        <v>2689.653947054263</v>
      </c>
    </row>
    <row r="98" spans="1:10" x14ac:dyDescent="0.35">
      <c r="A98" s="1">
        <v>45618</v>
      </c>
      <c r="B98" t="s">
        <v>11</v>
      </c>
      <c r="C98" t="s">
        <v>24</v>
      </c>
      <c r="D98" t="s">
        <v>32</v>
      </c>
      <c r="E98">
        <v>6</v>
      </c>
      <c r="F98">
        <v>538</v>
      </c>
      <c r="G98" t="s">
        <v>40</v>
      </c>
      <c r="H98">
        <v>3228</v>
      </c>
      <c r="I98">
        <v>2199.853074613874</v>
      </c>
      <c r="J98">
        <v>1028.146925386126</v>
      </c>
    </row>
    <row r="99" spans="1:10" x14ac:dyDescent="0.35">
      <c r="A99" s="1">
        <v>45300</v>
      </c>
      <c r="B99" t="s">
        <v>10</v>
      </c>
      <c r="C99" t="s">
        <v>22</v>
      </c>
      <c r="D99" t="s">
        <v>30</v>
      </c>
      <c r="E99">
        <v>9</v>
      </c>
      <c r="F99">
        <v>1121</v>
      </c>
      <c r="G99" t="s">
        <v>40</v>
      </c>
      <c r="H99">
        <v>10089</v>
      </c>
      <c r="I99">
        <v>8300.5893587320134</v>
      </c>
      <c r="J99">
        <v>1788.4106412679871</v>
      </c>
    </row>
    <row r="100" spans="1:10" x14ac:dyDescent="0.35">
      <c r="A100" s="1">
        <v>45635</v>
      </c>
      <c r="B100" t="s">
        <v>11</v>
      </c>
      <c r="C100" t="s">
        <v>20</v>
      </c>
      <c r="D100" t="s">
        <v>34</v>
      </c>
      <c r="E100">
        <v>13</v>
      </c>
      <c r="F100">
        <v>661</v>
      </c>
      <c r="G100" t="s">
        <v>38</v>
      </c>
      <c r="H100">
        <v>8593</v>
      </c>
      <c r="I100">
        <v>5369.0743260928193</v>
      </c>
      <c r="J100">
        <v>3223.9256739071811</v>
      </c>
    </row>
    <row r="101" spans="1:10" x14ac:dyDescent="0.35">
      <c r="A101" s="1">
        <v>45420</v>
      </c>
      <c r="B101" t="s">
        <v>12</v>
      </c>
      <c r="C101" t="s">
        <v>23</v>
      </c>
      <c r="D101" t="s">
        <v>33</v>
      </c>
      <c r="E101">
        <v>8</v>
      </c>
      <c r="F101">
        <v>217</v>
      </c>
      <c r="G101" t="s">
        <v>39</v>
      </c>
      <c r="H101">
        <v>1736</v>
      </c>
      <c r="I101">
        <v>1314.172214402882</v>
      </c>
      <c r="J101">
        <v>421.82778559711818</v>
      </c>
    </row>
    <row r="102" spans="1:10" x14ac:dyDescent="0.35">
      <c r="A102" s="1">
        <v>45427</v>
      </c>
      <c r="B102" t="s">
        <v>11</v>
      </c>
      <c r="C102" t="s">
        <v>18</v>
      </c>
      <c r="E102">
        <v>16</v>
      </c>
      <c r="F102">
        <v>1837</v>
      </c>
      <c r="G102" t="s">
        <v>39</v>
      </c>
      <c r="H102">
        <v>29392</v>
      </c>
      <c r="I102">
        <v>25429.686195814491</v>
      </c>
      <c r="J102">
        <v>3962.3138041855091</v>
      </c>
    </row>
    <row r="103" spans="1:10" x14ac:dyDescent="0.35">
      <c r="A103" s="1">
        <v>45354</v>
      </c>
      <c r="B103" t="s">
        <v>10</v>
      </c>
      <c r="C103" t="s">
        <v>17</v>
      </c>
      <c r="D103" t="s">
        <v>36</v>
      </c>
      <c r="E103">
        <v>13</v>
      </c>
      <c r="F103">
        <v>1004</v>
      </c>
      <c r="G103" t="s">
        <v>38</v>
      </c>
      <c r="H103">
        <v>13052</v>
      </c>
      <c r="I103">
        <v>9991.4728730141123</v>
      </c>
      <c r="J103">
        <v>3060.5271269858881</v>
      </c>
    </row>
    <row r="104" spans="1:10" x14ac:dyDescent="0.35">
      <c r="A104" s="1">
        <v>45430</v>
      </c>
      <c r="B104" t="s">
        <v>13</v>
      </c>
      <c r="C104" t="s">
        <v>24</v>
      </c>
      <c r="D104" t="s">
        <v>31</v>
      </c>
      <c r="E104">
        <v>13</v>
      </c>
      <c r="F104">
        <v>1606</v>
      </c>
      <c r="G104" t="s">
        <v>40</v>
      </c>
      <c r="H104">
        <v>20878</v>
      </c>
      <c r="I104">
        <v>16386.637955611499</v>
      </c>
      <c r="J104">
        <v>4491.3620443884975</v>
      </c>
    </row>
    <row r="105" spans="1:10" x14ac:dyDescent="0.35">
      <c r="A105" s="1">
        <v>45372</v>
      </c>
      <c r="B105" t="s">
        <v>11</v>
      </c>
      <c r="C105" t="s">
        <v>17</v>
      </c>
      <c r="D105" t="s">
        <v>34</v>
      </c>
      <c r="E105">
        <v>17</v>
      </c>
      <c r="F105">
        <v>494</v>
      </c>
      <c r="G105" t="s">
        <v>38</v>
      </c>
      <c r="H105">
        <v>8398</v>
      </c>
      <c r="I105">
        <v>7325.5064355640652</v>
      </c>
      <c r="J105">
        <v>1072.493564435935</v>
      </c>
    </row>
    <row r="106" spans="1:10" x14ac:dyDescent="0.35">
      <c r="A106" s="1">
        <v>45454</v>
      </c>
      <c r="B106" t="s">
        <v>10</v>
      </c>
      <c r="C106" t="s">
        <v>23</v>
      </c>
      <c r="D106" t="s">
        <v>35</v>
      </c>
      <c r="E106">
        <v>5</v>
      </c>
      <c r="F106">
        <v>1826</v>
      </c>
      <c r="G106" t="s">
        <v>39</v>
      </c>
      <c r="H106">
        <v>9130</v>
      </c>
      <c r="I106">
        <v>7437.3727930964096</v>
      </c>
      <c r="J106">
        <v>1692.6272069035899</v>
      </c>
    </row>
    <row r="107" spans="1:10" x14ac:dyDescent="0.35">
      <c r="A107" s="1">
        <v>45580</v>
      </c>
      <c r="B107" t="s">
        <v>10</v>
      </c>
      <c r="C107" t="s">
        <v>19</v>
      </c>
      <c r="D107" t="s">
        <v>33</v>
      </c>
      <c r="E107">
        <v>17</v>
      </c>
      <c r="F107">
        <v>975</v>
      </c>
      <c r="G107" t="s">
        <v>40</v>
      </c>
      <c r="H107">
        <v>16575</v>
      </c>
      <c r="I107">
        <v>13405.21198491516</v>
      </c>
      <c r="J107">
        <v>3169.78801508484</v>
      </c>
    </row>
    <row r="108" spans="1:10" x14ac:dyDescent="0.35">
      <c r="A108" s="1">
        <v>45552</v>
      </c>
      <c r="B108" t="s">
        <v>12</v>
      </c>
      <c r="C108" t="s">
        <v>24</v>
      </c>
      <c r="D108" t="s">
        <v>34</v>
      </c>
      <c r="E108">
        <v>9</v>
      </c>
      <c r="F108">
        <v>1583</v>
      </c>
      <c r="G108" t="s">
        <v>40</v>
      </c>
      <c r="H108">
        <v>14247</v>
      </c>
      <c r="I108">
        <v>11054.463948827261</v>
      </c>
      <c r="J108">
        <v>3192.5360511727431</v>
      </c>
    </row>
    <row r="109" spans="1:10" x14ac:dyDescent="0.35">
      <c r="A109" s="1">
        <v>45522</v>
      </c>
      <c r="B109" t="s">
        <v>12</v>
      </c>
      <c r="C109" t="s">
        <v>20</v>
      </c>
      <c r="D109" t="s">
        <v>35</v>
      </c>
      <c r="E109">
        <v>2</v>
      </c>
      <c r="F109">
        <v>1958</v>
      </c>
      <c r="G109" t="s">
        <v>38</v>
      </c>
      <c r="H109">
        <v>3916</v>
      </c>
      <c r="I109">
        <v>3093.2350239532529</v>
      </c>
      <c r="J109">
        <v>822.76497604674705</v>
      </c>
    </row>
    <row r="110" spans="1:10" x14ac:dyDescent="0.35">
      <c r="A110" s="1">
        <v>45332</v>
      </c>
      <c r="B110" t="s">
        <v>11</v>
      </c>
      <c r="C110" t="s">
        <v>24</v>
      </c>
      <c r="D110" t="s">
        <v>35</v>
      </c>
      <c r="E110">
        <v>18</v>
      </c>
      <c r="F110">
        <v>1816</v>
      </c>
      <c r="G110" t="s">
        <v>40</v>
      </c>
      <c r="H110">
        <v>32688</v>
      </c>
      <c r="I110">
        <v>27494.256870076559</v>
      </c>
      <c r="J110">
        <v>5193.7431299234413</v>
      </c>
    </row>
    <row r="111" spans="1:10" x14ac:dyDescent="0.35">
      <c r="A111" s="1">
        <v>45319</v>
      </c>
      <c r="B111" t="s">
        <v>13</v>
      </c>
      <c r="C111" t="s">
        <v>17</v>
      </c>
      <c r="D111" t="s">
        <v>37</v>
      </c>
      <c r="E111">
        <v>9</v>
      </c>
      <c r="F111">
        <v>1034</v>
      </c>
      <c r="G111" t="s">
        <v>38</v>
      </c>
      <c r="H111">
        <v>9306</v>
      </c>
      <c r="I111">
        <v>8317.4229219492463</v>
      </c>
      <c r="J111">
        <v>988.5770780507537</v>
      </c>
    </row>
    <row r="112" spans="1:10" x14ac:dyDescent="0.35">
      <c r="A112" s="1">
        <v>45426</v>
      </c>
      <c r="B112" t="s">
        <v>10</v>
      </c>
      <c r="C112" t="s">
        <v>22</v>
      </c>
      <c r="D112" t="s">
        <v>32</v>
      </c>
      <c r="E112">
        <v>6</v>
      </c>
      <c r="F112">
        <v>1201</v>
      </c>
      <c r="G112" t="s">
        <v>40</v>
      </c>
      <c r="H112">
        <v>7206</v>
      </c>
      <c r="I112">
        <v>6042.9343502948996</v>
      </c>
      <c r="J112">
        <v>1163.0656497051</v>
      </c>
    </row>
    <row r="113" spans="1:10" x14ac:dyDescent="0.35">
      <c r="A113" s="1">
        <v>45492</v>
      </c>
      <c r="B113" t="s">
        <v>11</v>
      </c>
      <c r="C113" t="s">
        <v>24</v>
      </c>
      <c r="D113" t="s">
        <v>37</v>
      </c>
      <c r="E113">
        <v>11</v>
      </c>
      <c r="F113">
        <v>1051</v>
      </c>
      <c r="G113" t="s">
        <v>40</v>
      </c>
      <c r="H113">
        <v>11561</v>
      </c>
      <c r="I113">
        <v>9390.54999313191</v>
      </c>
      <c r="J113">
        <v>2170.45000686809</v>
      </c>
    </row>
    <row r="114" spans="1:10" x14ac:dyDescent="0.35">
      <c r="A114" s="1">
        <v>45619</v>
      </c>
      <c r="B114" t="s">
        <v>10</v>
      </c>
      <c r="C114" t="s">
        <v>20</v>
      </c>
      <c r="D114" t="s">
        <v>33</v>
      </c>
      <c r="E114">
        <v>6</v>
      </c>
      <c r="F114">
        <v>1535</v>
      </c>
      <c r="G114" t="s">
        <v>38</v>
      </c>
      <c r="H114">
        <v>9210</v>
      </c>
      <c r="I114">
        <v>5900.5105134186151</v>
      </c>
      <c r="J114">
        <v>3309.4894865813849</v>
      </c>
    </row>
    <row r="115" spans="1:10" x14ac:dyDescent="0.35">
      <c r="A115" s="1">
        <v>45559</v>
      </c>
      <c r="B115" t="s">
        <v>10</v>
      </c>
      <c r="C115" t="s">
        <v>19</v>
      </c>
      <c r="D115" t="s">
        <v>35</v>
      </c>
      <c r="E115">
        <v>6</v>
      </c>
      <c r="F115">
        <v>174</v>
      </c>
      <c r="G115" t="s">
        <v>40</v>
      </c>
      <c r="H115">
        <v>1044</v>
      </c>
      <c r="I115">
        <v>882.30957734673825</v>
      </c>
      <c r="J115">
        <v>161.69042265326169</v>
      </c>
    </row>
    <row r="116" spans="1:10" x14ac:dyDescent="0.35">
      <c r="A116" s="1">
        <v>45324</v>
      </c>
      <c r="B116" t="s">
        <v>13</v>
      </c>
      <c r="C116" t="s">
        <v>18</v>
      </c>
      <c r="D116" t="s">
        <v>30</v>
      </c>
      <c r="E116">
        <v>13</v>
      </c>
      <c r="F116">
        <v>394</v>
      </c>
      <c r="G116" t="s">
        <v>39</v>
      </c>
      <c r="H116">
        <v>5122</v>
      </c>
      <c r="I116">
        <v>4204.1289449448468</v>
      </c>
      <c r="J116">
        <v>917.87105505515319</v>
      </c>
    </row>
    <row r="117" spans="1:10" x14ac:dyDescent="0.35">
      <c r="A117" s="1">
        <v>45339</v>
      </c>
      <c r="B117" t="s">
        <v>13</v>
      </c>
      <c r="C117" t="s">
        <v>21</v>
      </c>
      <c r="D117" t="s">
        <v>34</v>
      </c>
      <c r="E117">
        <v>11</v>
      </c>
      <c r="F117">
        <v>1916</v>
      </c>
      <c r="G117" t="s">
        <v>40</v>
      </c>
      <c r="H117">
        <v>21076</v>
      </c>
      <c r="I117">
        <v>17516.888685082919</v>
      </c>
      <c r="J117">
        <v>3559.1113149170778</v>
      </c>
    </row>
    <row r="118" spans="1:10" x14ac:dyDescent="0.35">
      <c r="A118" s="1">
        <v>45353</v>
      </c>
      <c r="B118" t="s">
        <v>11</v>
      </c>
      <c r="C118" t="s">
        <v>22</v>
      </c>
      <c r="D118" t="s">
        <v>36</v>
      </c>
      <c r="E118">
        <v>14</v>
      </c>
      <c r="F118">
        <v>120</v>
      </c>
      <c r="G118" t="s">
        <v>40</v>
      </c>
      <c r="H118">
        <v>1680</v>
      </c>
      <c r="I118">
        <v>1124.4726250346289</v>
      </c>
      <c r="J118">
        <v>555.52737496537088</v>
      </c>
    </row>
    <row r="119" spans="1:10" x14ac:dyDescent="0.35">
      <c r="A119" s="1">
        <v>45507</v>
      </c>
      <c r="B119" t="s">
        <v>13</v>
      </c>
      <c r="C119" t="s">
        <v>18</v>
      </c>
      <c r="D119" t="s">
        <v>35</v>
      </c>
      <c r="E119">
        <v>2</v>
      </c>
      <c r="F119">
        <v>1294</v>
      </c>
      <c r="G119" t="s">
        <v>39</v>
      </c>
      <c r="H119">
        <v>2588</v>
      </c>
      <c r="I119">
        <v>2254.2336859943762</v>
      </c>
      <c r="J119">
        <v>333.76631400562383</v>
      </c>
    </row>
    <row r="120" spans="1:10" x14ac:dyDescent="0.35">
      <c r="A120" s="1">
        <v>45584</v>
      </c>
      <c r="B120" t="s">
        <v>13</v>
      </c>
      <c r="D120" t="s">
        <v>34</v>
      </c>
      <c r="E120">
        <v>8</v>
      </c>
      <c r="F120">
        <v>1138</v>
      </c>
      <c r="G120" t="s">
        <v>40</v>
      </c>
      <c r="H120">
        <v>9104</v>
      </c>
      <c r="I120">
        <v>5728.0948732289498</v>
      </c>
      <c r="J120">
        <v>3375.9051267710502</v>
      </c>
    </row>
    <row r="121" spans="1:10" x14ac:dyDescent="0.35">
      <c r="A121" s="1">
        <v>45390</v>
      </c>
      <c r="B121" t="s">
        <v>11</v>
      </c>
      <c r="C121" t="s">
        <v>24</v>
      </c>
      <c r="D121" t="s">
        <v>30</v>
      </c>
      <c r="F121">
        <v>1334</v>
      </c>
      <c r="G121" t="s">
        <v>40</v>
      </c>
    </row>
    <row r="122" spans="1:10" x14ac:dyDescent="0.35">
      <c r="A122" s="1">
        <v>45463</v>
      </c>
      <c r="B122" t="s">
        <v>13</v>
      </c>
      <c r="C122" t="s">
        <v>17</v>
      </c>
      <c r="D122" t="s">
        <v>36</v>
      </c>
      <c r="E122">
        <v>3</v>
      </c>
      <c r="F122">
        <v>659</v>
      </c>
      <c r="G122" t="s">
        <v>38</v>
      </c>
      <c r="H122">
        <v>1977</v>
      </c>
      <c r="I122">
        <v>1579.4392012702031</v>
      </c>
      <c r="J122">
        <v>397.56079872979723</v>
      </c>
    </row>
    <row r="123" spans="1:10" x14ac:dyDescent="0.35">
      <c r="A123" s="1">
        <v>45651</v>
      </c>
      <c r="B123" t="s">
        <v>12</v>
      </c>
      <c r="C123" t="s">
        <v>23</v>
      </c>
      <c r="D123" t="s">
        <v>37</v>
      </c>
      <c r="E123">
        <v>1</v>
      </c>
      <c r="F123">
        <v>1209</v>
      </c>
      <c r="G123" t="s">
        <v>39</v>
      </c>
      <c r="H123">
        <v>1209</v>
      </c>
      <c r="I123">
        <v>969.75623603150916</v>
      </c>
      <c r="J123">
        <v>239.24376396849081</v>
      </c>
    </row>
    <row r="124" spans="1:10" x14ac:dyDescent="0.35">
      <c r="A124" s="1">
        <v>45505</v>
      </c>
      <c r="B124" t="s">
        <v>10</v>
      </c>
      <c r="C124" t="s">
        <v>17</v>
      </c>
      <c r="D124" t="s">
        <v>37</v>
      </c>
      <c r="E124">
        <v>19</v>
      </c>
      <c r="F124">
        <v>1272</v>
      </c>
      <c r="G124" t="s">
        <v>38</v>
      </c>
      <c r="H124">
        <v>24168</v>
      </c>
      <c r="I124">
        <v>16772.528435507498</v>
      </c>
      <c r="J124">
        <v>7395.4715644925018</v>
      </c>
    </row>
    <row r="125" spans="1:10" x14ac:dyDescent="0.35">
      <c r="A125" s="1">
        <v>45326</v>
      </c>
      <c r="B125" t="s">
        <v>10</v>
      </c>
      <c r="D125" t="s">
        <v>32</v>
      </c>
      <c r="E125">
        <v>18</v>
      </c>
      <c r="F125">
        <v>1823</v>
      </c>
      <c r="G125" t="s">
        <v>39</v>
      </c>
      <c r="H125">
        <v>32814</v>
      </c>
      <c r="I125">
        <v>26594.300989844131</v>
      </c>
      <c r="J125">
        <v>6219.6990101558731</v>
      </c>
    </row>
    <row r="126" spans="1:10" x14ac:dyDescent="0.35">
      <c r="A126" s="1">
        <v>45518</v>
      </c>
      <c r="B126" t="s">
        <v>10</v>
      </c>
      <c r="C126" t="s">
        <v>20</v>
      </c>
      <c r="D126" t="s">
        <v>34</v>
      </c>
      <c r="E126">
        <v>17</v>
      </c>
      <c r="F126">
        <v>471</v>
      </c>
      <c r="G126" t="s">
        <v>38</v>
      </c>
      <c r="H126">
        <v>8007</v>
      </c>
      <c r="I126">
        <v>5736.0479445007686</v>
      </c>
      <c r="J126">
        <v>2270.9520554992309</v>
      </c>
    </row>
    <row r="127" spans="1:10" x14ac:dyDescent="0.35">
      <c r="A127" s="1">
        <v>45392</v>
      </c>
      <c r="B127" t="s">
        <v>10</v>
      </c>
      <c r="C127" t="s">
        <v>17</v>
      </c>
      <c r="D127" t="s">
        <v>35</v>
      </c>
      <c r="E127">
        <v>13</v>
      </c>
      <c r="F127">
        <v>1603</v>
      </c>
      <c r="G127" t="s">
        <v>38</v>
      </c>
      <c r="H127">
        <v>20839</v>
      </c>
      <c r="I127">
        <v>12504.497272488979</v>
      </c>
      <c r="J127">
        <v>8334.5027275110206</v>
      </c>
    </row>
    <row r="128" spans="1:10" x14ac:dyDescent="0.35">
      <c r="A128" s="1">
        <v>45422</v>
      </c>
      <c r="B128" t="s">
        <v>11</v>
      </c>
      <c r="C128" t="s">
        <v>22</v>
      </c>
      <c r="D128" t="s">
        <v>31</v>
      </c>
      <c r="E128">
        <v>3</v>
      </c>
      <c r="G128" t="s">
        <v>40</v>
      </c>
    </row>
    <row r="129" spans="1:10" x14ac:dyDescent="0.35">
      <c r="A129" s="1">
        <v>45548</v>
      </c>
      <c r="B129" t="s">
        <v>10</v>
      </c>
      <c r="C129" t="s">
        <v>17</v>
      </c>
      <c r="D129" t="s">
        <v>37</v>
      </c>
      <c r="E129">
        <v>1</v>
      </c>
      <c r="F129">
        <v>1274</v>
      </c>
      <c r="G129" t="s">
        <v>38</v>
      </c>
      <c r="H129">
        <v>1274</v>
      </c>
      <c r="I129">
        <v>1101.7367047883861</v>
      </c>
      <c r="J129">
        <v>172.26329521161369</v>
      </c>
    </row>
    <row r="130" spans="1:10" x14ac:dyDescent="0.35">
      <c r="A130" s="1">
        <v>45296</v>
      </c>
      <c r="B130" t="s">
        <v>10</v>
      </c>
      <c r="C130" t="s">
        <v>20</v>
      </c>
      <c r="D130" t="s">
        <v>37</v>
      </c>
      <c r="E130">
        <v>4</v>
      </c>
      <c r="F130">
        <v>1264</v>
      </c>
      <c r="G130" t="s">
        <v>38</v>
      </c>
      <c r="H130">
        <v>5056</v>
      </c>
      <c r="I130">
        <v>3371.3822769911831</v>
      </c>
      <c r="J130">
        <v>1684.6177230088169</v>
      </c>
    </row>
    <row r="131" spans="1:10" x14ac:dyDescent="0.35">
      <c r="A131" s="1">
        <v>45509</v>
      </c>
      <c r="B131" t="s">
        <v>10</v>
      </c>
      <c r="C131" t="s">
        <v>21</v>
      </c>
      <c r="D131" t="s">
        <v>32</v>
      </c>
      <c r="E131">
        <v>13</v>
      </c>
      <c r="F131">
        <v>1192</v>
      </c>
      <c r="G131" t="s">
        <v>40</v>
      </c>
      <c r="H131">
        <v>15496</v>
      </c>
      <c r="I131">
        <v>9822.4975832871423</v>
      </c>
      <c r="J131">
        <v>5673.5024167128577</v>
      </c>
    </row>
    <row r="132" spans="1:10" x14ac:dyDescent="0.35">
      <c r="A132" s="1">
        <v>45546</v>
      </c>
      <c r="B132" t="s">
        <v>10</v>
      </c>
      <c r="C132" t="s">
        <v>24</v>
      </c>
      <c r="D132" t="s">
        <v>36</v>
      </c>
      <c r="E132">
        <v>17</v>
      </c>
      <c r="F132">
        <v>1383</v>
      </c>
      <c r="G132" t="s">
        <v>40</v>
      </c>
      <c r="H132">
        <v>23511</v>
      </c>
      <c r="I132">
        <v>18918.365533828601</v>
      </c>
      <c r="J132">
        <v>4592.6344661713993</v>
      </c>
    </row>
    <row r="133" spans="1:10" x14ac:dyDescent="0.35">
      <c r="A133" s="1">
        <v>45650</v>
      </c>
      <c r="B133" t="s">
        <v>12</v>
      </c>
      <c r="C133" t="s">
        <v>23</v>
      </c>
      <c r="D133" t="s">
        <v>32</v>
      </c>
      <c r="E133">
        <v>11</v>
      </c>
      <c r="F133">
        <v>945</v>
      </c>
      <c r="G133" t="s">
        <v>39</v>
      </c>
      <c r="H133">
        <v>10395</v>
      </c>
      <c r="I133">
        <v>7611.3430406547623</v>
      </c>
      <c r="J133">
        <v>2783.6569593452382</v>
      </c>
    </row>
    <row r="134" spans="1:10" x14ac:dyDescent="0.35">
      <c r="A134" s="1">
        <v>45574</v>
      </c>
      <c r="B134" t="s">
        <v>10</v>
      </c>
      <c r="C134" t="s">
        <v>18</v>
      </c>
      <c r="D134" t="s">
        <v>30</v>
      </c>
      <c r="E134">
        <v>2</v>
      </c>
      <c r="F134">
        <v>620</v>
      </c>
      <c r="G134" t="s">
        <v>39</v>
      </c>
      <c r="H134">
        <v>1240</v>
      </c>
      <c r="I134">
        <v>1040.331828339924</v>
      </c>
      <c r="J134">
        <v>199.6681716600763</v>
      </c>
    </row>
    <row r="135" spans="1:10" x14ac:dyDescent="0.35">
      <c r="A135" s="1">
        <v>45498</v>
      </c>
      <c r="B135" t="s">
        <v>12</v>
      </c>
      <c r="C135" t="s">
        <v>24</v>
      </c>
      <c r="D135" t="s">
        <v>35</v>
      </c>
      <c r="E135">
        <v>16</v>
      </c>
      <c r="F135">
        <v>1756</v>
      </c>
      <c r="G135" t="s">
        <v>40</v>
      </c>
      <c r="H135">
        <v>28096</v>
      </c>
      <c r="I135">
        <v>24118.547064468119</v>
      </c>
      <c r="J135">
        <v>3977.452935531885</v>
      </c>
    </row>
    <row r="136" spans="1:10" x14ac:dyDescent="0.35">
      <c r="A136" s="1">
        <v>45306</v>
      </c>
      <c r="B136" t="s">
        <v>11</v>
      </c>
      <c r="C136" t="s">
        <v>17</v>
      </c>
      <c r="D136" t="s">
        <v>34</v>
      </c>
      <c r="E136">
        <v>2</v>
      </c>
      <c r="F136">
        <v>470</v>
      </c>
      <c r="G136" t="s">
        <v>38</v>
      </c>
      <c r="H136">
        <v>940</v>
      </c>
      <c r="I136">
        <v>802.56886342319933</v>
      </c>
      <c r="J136">
        <v>137.4311365768007</v>
      </c>
    </row>
    <row r="137" spans="1:10" x14ac:dyDescent="0.35">
      <c r="A137" s="1">
        <v>45637</v>
      </c>
      <c r="B137" t="s">
        <v>13</v>
      </c>
      <c r="C137" t="s">
        <v>19</v>
      </c>
      <c r="D137" t="s">
        <v>33</v>
      </c>
      <c r="E137">
        <v>19</v>
      </c>
      <c r="F137">
        <v>1542</v>
      </c>
      <c r="G137" t="s">
        <v>40</v>
      </c>
      <c r="H137">
        <v>29298</v>
      </c>
      <c r="I137">
        <v>20329.963231209171</v>
      </c>
      <c r="J137">
        <v>8968.0367687908256</v>
      </c>
    </row>
    <row r="138" spans="1:10" x14ac:dyDescent="0.35">
      <c r="A138" s="1">
        <v>45333</v>
      </c>
      <c r="B138" t="s">
        <v>10</v>
      </c>
      <c r="C138" t="s">
        <v>24</v>
      </c>
      <c r="D138" t="s">
        <v>33</v>
      </c>
      <c r="E138">
        <v>19</v>
      </c>
      <c r="F138">
        <v>200</v>
      </c>
      <c r="G138" t="s">
        <v>40</v>
      </c>
      <c r="H138">
        <v>3800</v>
      </c>
      <c r="I138">
        <v>2856.3223692837068</v>
      </c>
      <c r="J138">
        <v>943.67763071629315</v>
      </c>
    </row>
    <row r="139" spans="1:10" x14ac:dyDescent="0.35">
      <c r="A139" s="1">
        <v>45470</v>
      </c>
      <c r="B139" t="s">
        <v>13</v>
      </c>
      <c r="C139" t="s">
        <v>21</v>
      </c>
      <c r="D139" t="s">
        <v>34</v>
      </c>
      <c r="E139">
        <v>16</v>
      </c>
      <c r="F139">
        <v>760</v>
      </c>
      <c r="G139" t="s">
        <v>40</v>
      </c>
      <c r="H139">
        <v>12160</v>
      </c>
      <c r="I139">
        <v>9667.7170479921242</v>
      </c>
      <c r="J139">
        <v>2492.2829520078758</v>
      </c>
    </row>
    <row r="140" spans="1:10" x14ac:dyDescent="0.35">
      <c r="A140" s="1">
        <v>45354</v>
      </c>
      <c r="B140" t="s">
        <v>13</v>
      </c>
      <c r="C140" t="s">
        <v>17</v>
      </c>
      <c r="D140" t="s">
        <v>36</v>
      </c>
      <c r="E140">
        <v>19</v>
      </c>
      <c r="F140">
        <v>1781</v>
      </c>
      <c r="G140" t="s">
        <v>38</v>
      </c>
      <c r="H140">
        <v>33839</v>
      </c>
      <c r="I140">
        <v>23572.075707182241</v>
      </c>
      <c r="J140">
        <v>10266.924292817759</v>
      </c>
    </row>
    <row r="141" spans="1:10" x14ac:dyDescent="0.35">
      <c r="A141" s="1">
        <v>45643</v>
      </c>
      <c r="B141" t="s">
        <v>50</v>
      </c>
      <c r="C141" t="s">
        <v>23</v>
      </c>
      <c r="D141" t="s">
        <v>30</v>
      </c>
      <c r="E141">
        <v>9</v>
      </c>
      <c r="F141">
        <v>1988</v>
      </c>
      <c r="G141" t="s">
        <v>39</v>
      </c>
      <c r="H141">
        <v>17892</v>
      </c>
      <c r="I141">
        <v>10955.80468508886</v>
      </c>
      <c r="J141">
        <v>6936.1953149111396</v>
      </c>
    </row>
    <row r="142" spans="1:10" x14ac:dyDescent="0.35">
      <c r="A142" s="1">
        <v>45522</v>
      </c>
      <c r="B142" t="s">
        <v>13</v>
      </c>
      <c r="C142" t="s">
        <v>20</v>
      </c>
      <c r="D142" t="s">
        <v>37</v>
      </c>
      <c r="E142">
        <v>1</v>
      </c>
      <c r="F142">
        <v>1067</v>
      </c>
      <c r="G142" t="s">
        <v>38</v>
      </c>
      <c r="H142">
        <v>1067</v>
      </c>
      <c r="I142">
        <v>798.86216877324375</v>
      </c>
      <c r="J142">
        <v>268.13783122675619</v>
      </c>
    </row>
    <row r="143" spans="1:10" x14ac:dyDescent="0.35">
      <c r="A143" s="1">
        <v>45532</v>
      </c>
      <c r="B143" t="s">
        <v>12</v>
      </c>
      <c r="C143" t="s">
        <v>21</v>
      </c>
      <c r="D143" t="s">
        <v>36</v>
      </c>
      <c r="E143">
        <v>10</v>
      </c>
      <c r="F143">
        <v>342</v>
      </c>
      <c r="G143" t="s">
        <v>40</v>
      </c>
      <c r="H143">
        <v>3420</v>
      </c>
      <c r="I143">
        <v>2065.1516101356988</v>
      </c>
      <c r="J143">
        <v>1354.848389864301</v>
      </c>
    </row>
    <row r="144" spans="1:10" x14ac:dyDescent="0.35">
      <c r="A144" s="1">
        <v>45343</v>
      </c>
      <c r="B144" t="s">
        <v>13</v>
      </c>
      <c r="C144" t="s">
        <v>17</v>
      </c>
      <c r="D144" t="s">
        <v>37</v>
      </c>
      <c r="E144">
        <v>19</v>
      </c>
      <c r="F144">
        <v>852</v>
      </c>
      <c r="G144" t="s">
        <v>38</v>
      </c>
      <c r="H144">
        <v>16188</v>
      </c>
      <c r="I144">
        <v>14329.51541191909</v>
      </c>
      <c r="J144">
        <v>1858.48458808091</v>
      </c>
    </row>
    <row r="145" spans="1:10" x14ac:dyDescent="0.35">
      <c r="A145" s="1">
        <v>45387</v>
      </c>
      <c r="B145" t="s">
        <v>13</v>
      </c>
      <c r="C145" t="s">
        <v>21</v>
      </c>
      <c r="E145">
        <v>1</v>
      </c>
      <c r="F145">
        <v>611</v>
      </c>
      <c r="G145" t="s">
        <v>40</v>
      </c>
      <c r="H145">
        <v>611</v>
      </c>
      <c r="I145">
        <v>512.63211232518574</v>
      </c>
      <c r="J145">
        <v>98.367887674814256</v>
      </c>
    </row>
    <row r="146" spans="1:10" x14ac:dyDescent="0.35">
      <c r="A146" s="1">
        <v>45513</v>
      </c>
      <c r="B146" t="s">
        <v>13</v>
      </c>
      <c r="C146" t="s">
        <v>24</v>
      </c>
      <c r="D146" t="s">
        <v>33</v>
      </c>
      <c r="E146">
        <v>2</v>
      </c>
      <c r="F146">
        <v>948</v>
      </c>
      <c r="G146" t="s">
        <v>40</v>
      </c>
      <c r="H146">
        <v>1896</v>
      </c>
      <c r="I146">
        <v>1246.815160886621</v>
      </c>
      <c r="J146">
        <v>649.18483911337944</v>
      </c>
    </row>
    <row r="147" spans="1:10" x14ac:dyDescent="0.35">
      <c r="A147" s="1">
        <v>45522</v>
      </c>
      <c r="B147" t="s">
        <v>10</v>
      </c>
      <c r="C147" t="s">
        <v>23</v>
      </c>
      <c r="D147" t="s">
        <v>36</v>
      </c>
      <c r="E147">
        <v>16</v>
      </c>
      <c r="F147">
        <v>654</v>
      </c>
      <c r="G147" t="s">
        <v>39</v>
      </c>
      <c r="H147">
        <v>10464</v>
      </c>
      <c r="I147">
        <v>7181.1452341215409</v>
      </c>
      <c r="J147">
        <v>3282.8547658784591</v>
      </c>
    </row>
    <row r="148" spans="1:10" x14ac:dyDescent="0.35">
      <c r="A148" s="1">
        <v>45528</v>
      </c>
      <c r="B148" t="s">
        <v>10</v>
      </c>
      <c r="C148" t="s">
        <v>20</v>
      </c>
      <c r="D148" t="s">
        <v>30</v>
      </c>
      <c r="E148">
        <v>12</v>
      </c>
      <c r="F148">
        <v>1218</v>
      </c>
      <c r="G148" t="s">
        <v>38</v>
      </c>
      <c r="H148">
        <v>14616</v>
      </c>
      <c r="I148">
        <v>13079.150465355629</v>
      </c>
      <c r="J148">
        <v>1536.8495346443669</v>
      </c>
    </row>
    <row r="149" spans="1:10" x14ac:dyDescent="0.35">
      <c r="A149" s="1">
        <v>45434</v>
      </c>
      <c r="B149" t="s">
        <v>12</v>
      </c>
      <c r="C149" t="s">
        <v>17</v>
      </c>
      <c r="D149" t="s">
        <v>32</v>
      </c>
      <c r="F149">
        <v>325</v>
      </c>
      <c r="G149" t="s">
        <v>38</v>
      </c>
    </row>
    <row r="150" spans="1:10" x14ac:dyDescent="0.35">
      <c r="A150" s="1">
        <v>45462</v>
      </c>
      <c r="B150" t="s">
        <v>12</v>
      </c>
      <c r="C150" t="s">
        <v>22</v>
      </c>
      <c r="D150" t="s">
        <v>37</v>
      </c>
      <c r="E150">
        <v>18</v>
      </c>
      <c r="F150">
        <v>1641</v>
      </c>
      <c r="G150" t="s">
        <v>40</v>
      </c>
      <c r="H150">
        <v>29538</v>
      </c>
      <c r="I150">
        <v>24667.67729816469</v>
      </c>
      <c r="J150">
        <v>4870.3227018353064</v>
      </c>
    </row>
    <row r="151" spans="1:10" x14ac:dyDescent="0.35">
      <c r="A151" s="1">
        <v>45320</v>
      </c>
      <c r="B151" t="s">
        <v>10</v>
      </c>
      <c r="C151" t="s">
        <v>18</v>
      </c>
      <c r="D151" t="s">
        <v>31</v>
      </c>
      <c r="E151">
        <v>2</v>
      </c>
      <c r="F151">
        <v>313</v>
      </c>
      <c r="G151" t="s">
        <v>39</v>
      </c>
      <c r="H151">
        <v>626</v>
      </c>
      <c r="I151">
        <v>459.51194496913598</v>
      </c>
      <c r="J151">
        <v>166.48805503086399</v>
      </c>
    </row>
    <row r="152" spans="1:10" x14ac:dyDescent="0.35">
      <c r="A152" s="1">
        <v>45327</v>
      </c>
      <c r="B152" t="s">
        <v>12</v>
      </c>
      <c r="C152" t="s">
        <v>20</v>
      </c>
      <c r="D152" t="s">
        <v>31</v>
      </c>
      <c r="E152">
        <v>13</v>
      </c>
      <c r="F152">
        <v>817</v>
      </c>
      <c r="G152" t="s">
        <v>38</v>
      </c>
      <c r="H152">
        <v>10621</v>
      </c>
      <c r="I152">
        <v>9125.8688429617741</v>
      </c>
      <c r="J152">
        <v>1495.1311570382261</v>
      </c>
    </row>
    <row r="153" spans="1:10" x14ac:dyDescent="0.35">
      <c r="A153" s="1">
        <v>45304</v>
      </c>
      <c r="B153" t="s">
        <v>10</v>
      </c>
      <c r="C153" t="s">
        <v>22</v>
      </c>
      <c r="D153" t="s">
        <v>32</v>
      </c>
      <c r="E153">
        <v>6</v>
      </c>
      <c r="F153">
        <v>166</v>
      </c>
      <c r="G153" t="s">
        <v>40</v>
      </c>
      <c r="H153">
        <v>996</v>
      </c>
      <c r="I153">
        <v>807.88154823865887</v>
      </c>
      <c r="J153">
        <v>188.11845176134111</v>
      </c>
    </row>
    <row r="154" spans="1:10" x14ac:dyDescent="0.35">
      <c r="A154" s="1">
        <v>45451</v>
      </c>
      <c r="B154" t="s">
        <v>11</v>
      </c>
      <c r="C154" t="s">
        <v>21</v>
      </c>
      <c r="D154" t="s">
        <v>31</v>
      </c>
      <c r="E154">
        <v>6</v>
      </c>
      <c r="F154">
        <v>495</v>
      </c>
      <c r="G154" t="s">
        <v>40</v>
      </c>
      <c r="H154">
        <v>2970</v>
      </c>
      <c r="I154">
        <v>1802.412863363023</v>
      </c>
      <c r="J154">
        <v>1167.587136636977</v>
      </c>
    </row>
    <row r="155" spans="1:10" x14ac:dyDescent="0.35">
      <c r="A155" s="1">
        <v>45618</v>
      </c>
      <c r="B155" t="s">
        <v>13</v>
      </c>
      <c r="C155" t="s">
        <v>19</v>
      </c>
      <c r="D155" t="s">
        <v>35</v>
      </c>
      <c r="F155">
        <v>711</v>
      </c>
      <c r="G155" t="s">
        <v>40</v>
      </c>
    </row>
    <row r="156" spans="1:10" x14ac:dyDescent="0.35">
      <c r="A156" s="1">
        <v>45478</v>
      </c>
      <c r="B156" t="s">
        <v>13</v>
      </c>
      <c r="C156" t="s">
        <v>20</v>
      </c>
      <c r="D156" t="s">
        <v>37</v>
      </c>
      <c r="E156">
        <v>16</v>
      </c>
      <c r="F156">
        <v>1135</v>
      </c>
      <c r="G156" t="s">
        <v>38</v>
      </c>
      <c r="H156">
        <v>18160</v>
      </c>
      <c r="I156">
        <v>13935.94213153953</v>
      </c>
      <c r="J156">
        <v>4224.0578684604716</v>
      </c>
    </row>
    <row r="157" spans="1:10" x14ac:dyDescent="0.35">
      <c r="A157" s="1">
        <v>45534</v>
      </c>
      <c r="B157" t="s">
        <v>12</v>
      </c>
      <c r="C157" t="s">
        <v>21</v>
      </c>
      <c r="D157" t="s">
        <v>32</v>
      </c>
      <c r="E157">
        <v>11</v>
      </c>
      <c r="F157">
        <v>1360</v>
      </c>
      <c r="G157" t="s">
        <v>40</v>
      </c>
      <c r="H157">
        <v>14960</v>
      </c>
      <c r="I157">
        <v>13132.669109785051</v>
      </c>
      <c r="J157">
        <v>1827.3308902149461</v>
      </c>
    </row>
    <row r="158" spans="1:10" x14ac:dyDescent="0.35">
      <c r="A158" s="1">
        <v>45377</v>
      </c>
      <c r="B158" t="s">
        <v>10</v>
      </c>
      <c r="C158" t="s">
        <v>22</v>
      </c>
      <c r="D158" t="s">
        <v>36</v>
      </c>
      <c r="E158">
        <v>7</v>
      </c>
      <c r="F158">
        <v>1957</v>
      </c>
      <c r="G158" t="s">
        <v>40</v>
      </c>
      <c r="H158">
        <v>13699</v>
      </c>
      <c r="I158">
        <v>8638.7122580081323</v>
      </c>
      <c r="J158">
        <v>5060.2877419918677</v>
      </c>
    </row>
    <row r="159" spans="1:10" x14ac:dyDescent="0.35">
      <c r="A159" s="1">
        <v>45575</v>
      </c>
      <c r="B159" t="s">
        <v>10</v>
      </c>
      <c r="C159" t="s">
        <v>24</v>
      </c>
      <c r="D159" t="s">
        <v>37</v>
      </c>
      <c r="E159">
        <v>10</v>
      </c>
      <c r="F159">
        <v>869</v>
      </c>
      <c r="G159" t="s">
        <v>40</v>
      </c>
      <c r="H159">
        <v>8690</v>
      </c>
      <c r="I159">
        <v>6781.2307358127518</v>
      </c>
      <c r="J159">
        <v>1908.7692641872479</v>
      </c>
    </row>
    <row r="160" spans="1:10" x14ac:dyDescent="0.35">
      <c r="A160" s="1">
        <v>45357</v>
      </c>
      <c r="B160" t="s">
        <v>12</v>
      </c>
      <c r="C160" t="s">
        <v>24</v>
      </c>
      <c r="D160" t="s">
        <v>32</v>
      </c>
      <c r="E160">
        <v>10</v>
      </c>
      <c r="F160">
        <v>1522</v>
      </c>
      <c r="G160" t="s">
        <v>40</v>
      </c>
      <c r="H160">
        <v>15220</v>
      </c>
      <c r="I160">
        <v>10511.73895563019</v>
      </c>
      <c r="J160">
        <v>4708.2610443698068</v>
      </c>
    </row>
    <row r="161" spans="1:10" x14ac:dyDescent="0.35">
      <c r="A161" s="1">
        <v>45461</v>
      </c>
      <c r="B161" t="s">
        <v>10</v>
      </c>
      <c r="C161" t="s">
        <v>19</v>
      </c>
      <c r="E161">
        <v>18</v>
      </c>
      <c r="F161">
        <v>506</v>
      </c>
      <c r="G161" t="s">
        <v>40</v>
      </c>
      <c r="H161">
        <v>9108</v>
      </c>
      <c r="I161">
        <v>7894.7992315899191</v>
      </c>
      <c r="J161">
        <v>1213.2007684100811</v>
      </c>
    </row>
    <row r="162" spans="1:10" x14ac:dyDescent="0.35">
      <c r="A162" s="1">
        <v>45336</v>
      </c>
      <c r="B162" t="s">
        <v>11</v>
      </c>
      <c r="C162" t="s">
        <v>18</v>
      </c>
      <c r="D162" t="s">
        <v>30</v>
      </c>
      <c r="E162">
        <v>9</v>
      </c>
      <c r="F162">
        <v>1024</v>
      </c>
      <c r="G162" t="s">
        <v>39</v>
      </c>
      <c r="H162">
        <v>9216</v>
      </c>
      <c r="I162">
        <v>7645.1409367838569</v>
      </c>
      <c r="J162">
        <v>1570.8590632161431</v>
      </c>
    </row>
    <row r="163" spans="1:10" x14ac:dyDescent="0.35">
      <c r="A163" s="1">
        <v>45353</v>
      </c>
      <c r="B163" t="s">
        <v>13</v>
      </c>
      <c r="C163" t="s">
        <v>20</v>
      </c>
      <c r="D163" t="s">
        <v>36</v>
      </c>
      <c r="E163">
        <v>15</v>
      </c>
      <c r="F163">
        <v>1972</v>
      </c>
      <c r="G163" t="s">
        <v>38</v>
      </c>
      <c r="H163">
        <v>29580</v>
      </c>
      <c r="I163">
        <v>21028.741955110399</v>
      </c>
      <c r="J163">
        <v>8551.2580448896042</v>
      </c>
    </row>
    <row r="164" spans="1:10" x14ac:dyDescent="0.35">
      <c r="A164" s="1">
        <v>45425</v>
      </c>
      <c r="B164" t="s">
        <v>12</v>
      </c>
      <c r="C164" t="s">
        <v>20</v>
      </c>
      <c r="D164" t="s">
        <v>30</v>
      </c>
      <c r="E164">
        <v>4</v>
      </c>
      <c r="F164">
        <v>1603</v>
      </c>
      <c r="G164" t="s">
        <v>38</v>
      </c>
      <c r="H164">
        <v>6412</v>
      </c>
      <c r="I164">
        <v>4168.6396460946089</v>
      </c>
      <c r="J164">
        <v>2243.3603539053911</v>
      </c>
    </row>
    <row r="165" spans="1:10" x14ac:dyDescent="0.35">
      <c r="A165" s="1">
        <v>45575</v>
      </c>
      <c r="B165" t="s">
        <v>12</v>
      </c>
      <c r="C165" t="s">
        <v>20</v>
      </c>
      <c r="D165" t="s">
        <v>33</v>
      </c>
      <c r="E165">
        <v>8</v>
      </c>
      <c r="F165">
        <v>746</v>
      </c>
      <c r="G165" t="s">
        <v>38</v>
      </c>
      <c r="H165">
        <v>5968</v>
      </c>
      <c r="I165">
        <v>3601.3859697801222</v>
      </c>
      <c r="J165">
        <v>2366.6140302198778</v>
      </c>
    </row>
    <row r="166" spans="1:10" x14ac:dyDescent="0.35">
      <c r="A166" s="1">
        <v>45319</v>
      </c>
      <c r="B166" t="s">
        <v>10</v>
      </c>
      <c r="C166" t="s">
        <v>18</v>
      </c>
      <c r="D166" t="s">
        <v>37</v>
      </c>
      <c r="E166">
        <v>9</v>
      </c>
      <c r="F166">
        <v>321</v>
      </c>
      <c r="G166" t="s">
        <v>39</v>
      </c>
      <c r="H166">
        <v>2889</v>
      </c>
      <c r="I166">
        <v>2271.7372283973782</v>
      </c>
      <c r="J166">
        <v>617.2627716026218</v>
      </c>
    </row>
    <row r="167" spans="1:10" x14ac:dyDescent="0.35">
      <c r="A167" s="1">
        <v>45399</v>
      </c>
      <c r="B167" t="s">
        <v>12</v>
      </c>
      <c r="C167" t="s">
        <v>21</v>
      </c>
      <c r="D167" t="s">
        <v>36</v>
      </c>
      <c r="E167">
        <v>13</v>
      </c>
      <c r="F167">
        <v>1279</v>
      </c>
      <c r="G167" t="s">
        <v>40</v>
      </c>
      <c r="H167">
        <v>16627</v>
      </c>
      <c r="I167">
        <v>12001.98616484541</v>
      </c>
      <c r="J167">
        <v>4625.0138351545938</v>
      </c>
    </row>
    <row r="168" spans="1:10" x14ac:dyDescent="0.35">
      <c r="A168" s="1">
        <v>45335</v>
      </c>
      <c r="B168" t="s">
        <v>11</v>
      </c>
      <c r="C168" t="s">
        <v>23</v>
      </c>
      <c r="D168" t="s">
        <v>30</v>
      </c>
      <c r="E168">
        <v>9</v>
      </c>
      <c r="F168">
        <v>753</v>
      </c>
      <c r="G168" t="s">
        <v>39</v>
      </c>
      <c r="H168">
        <v>6777</v>
      </c>
      <c r="I168">
        <v>4706.1314256352298</v>
      </c>
      <c r="J168">
        <v>2070.8685743647702</v>
      </c>
    </row>
    <row r="169" spans="1:10" x14ac:dyDescent="0.35">
      <c r="A169" s="1">
        <v>45631</v>
      </c>
      <c r="B169" t="s">
        <v>10</v>
      </c>
      <c r="C169" t="s">
        <v>23</v>
      </c>
      <c r="D169" t="s">
        <v>31</v>
      </c>
      <c r="E169">
        <v>4</v>
      </c>
      <c r="F169">
        <v>527</v>
      </c>
      <c r="G169" t="s">
        <v>39</v>
      </c>
      <c r="H169">
        <v>2108</v>
      </c>
      <c r="I169">
        <v>1888.0316492311349</v>
      </c>
      <c r="J169">
        <v>219.96835076886509</v>
      </c>
    </row>
    <row r="170" spans="1:10" x14ac:dyDescent="0.35">
      <c r="A170" s="1">
        <v>45577</v>
      </c>
      <c r="B170" t="s">
        <v>10</v>
      </c>
      <c r="C170" t="s">
        <v>19</v>
      </c>
      <c r="D170" t="s">
        <v>30</v>
      </c>
      <c r="E170">
        <v>17</v>
      </c>
      <c r="F170">
        <v>1281</v>
      </c>
      <c r="G170" t="s">
        <v>40</v>
      </c>
      <c r="H170">
        <v>21777</v>
      </c>
      <c r="I170">
        <v>16111.5531858291</v>
      </c>
      <c r="J170">
        <v>5665.446814170904</v>
      </c>
    </row>
    <row r="171" spans="1:10" x14ac:dyDescent="0.35">
      <c r="A171" s="1">
        <v>45622</v>
      </c>
      <c r="B171" t="s">
        <v>10</v>
      </c>
      <c r="C171" t="s">
        <v>20</v>
      </c>
      <c r="D171" t="s">
        <v>32</v>
      </c>
      <c r="E171">
        <v>16</v>
      </c>
      <c r="F171">
        <v>1076</v>
      </c>
      <c r="G171" t="s">
        <v>38</v>
      </c>
      <c r="H171">
        <v>17216</v>
      </c>
      <c r="I171">
        <v>14202.36993217189</v>
      </c>
      <c r="J171">
        <v>3013.6300678281132</v>
      </c>
    </row>
    <row r="172" spans="1:10" x14ac:dyDescent="0.35">
      <c r="A172" s="1">
        <v>45419</v>
      </c>
      <c r="B172" t="s">
        <v>10</v>
      </c>
      <c r="C172" t="s">
        <v>21</v>
      </c>
      <c r="D172" t="s">
        <v>37</v>
      </c>
      <c r="E172">
        <v>15</v>
      </c>
      <c r="F172">
        <v>1539</v>
      </c>
      <c r="G172" t="s">
        <v>40</v>
      </c>
      <c r="H172">
        <v>23085</v>
      </c>
      <c r="I172">
        <v>15079.669695673439</v>
      </c>
      <c r="J172">
        <v>8005.3303043265641</v>
      </c>
    </row>
    <row r="173" spans="1:10" x14ac:dyDescent="0.35">
      <c r="A173" s="1">
        <v>45639</v>
      </c>
      <c r="B173" t="s">
        <v>11</v>
      </c>
      <c r="C173" t="s">
        <v>24</v>
      </c>
      <c r="D173" t="s">
        <v>35</v>
      </c>
      <c r="E173">
        <v>3</v>
      </c>
      <c r="G173" t="s">
        <v>40</v>
      </c>
    </row>
    <row r="174" spans="1:10" x14ac:dyDescent="0.35">
      <c r="A174" s="1">
        <v>45522</v>
      </c>
      <c r="B174" t="s">
        <v>10</v>
      </c>
      <c r="C174" t="s">
        <v>22</v>
      </c>
      <c r="D174" t="s">
        <v>30</v>
      </c>
      <c r="E174">
        <v>5</v>
      </c>
      <c r="F174">
        <v>1449</v>
      </c>
      <c r="G174" t="s">
        <v>40</v>
      </c>
      <c r="H174">
        <v>7245</v>
      </c>
      <c r="I174">
        <v>5254.572353370263</v>
      </c>
      <c r="J174">
        <v>1990.427646629737</v>
      </c>
    </row>
    <row r="175" spans="1:10" x14ac:dyDescent="0.35">
      <c r="A175" s="1">
        <v>45481</v>
      </c>
      <c r="B175" t="s">
        <v>12</v>
      </c>
      <c r="C175" t="s">
        <v>21</v>
      </c>
      <c r="D175" t="s">
        <v>36</v>
      </c>
      <c r="E175">
        <v>5</v>
      </c>
      <c r="F175">
        <v>470</v>
      </c>
      <c r="G175" t="s">
        <v>40</v>
      </c>
      <c r="H175">
        <v>2350</v>
      </c>
      <c r="I175">
        <v>1879.2937086345769</v>
      </c>
      <c r="J175">
        <v>470.70629136542328</v>
      </c>
    </row>
    <row r="176" spans="1:10" x14ac:dyDescent="0.35">
      <c r="A176" s="1">
        <v>45516</v>
      </c>
      <c r="B176" t="s">
        <v>11</v>
      </c>
      <c r="C176" t="s">
        <v>18</v>
      </c>
      <c r="D176" t="s">
        <v>36</v>
      </c>
      <c r="E176">
        <v>15</v>
      </c>
      <c r="F176">
        <v>1467</v>
      </c>
      <c r="G176" t="s">
        <v>39</v>
      </c>
      <c r="H176">
        <v>22005</v>
      </c>
      <c r="I176">
        <v>16547.311292855109</v>
      </c>
      <c r="J176">
        <v>5457.6887071448909</v>
      </c>
    </row>
    <row r="177" spans="1:10" x14ac:dyDescent="0.35">
      <c r="A177" s="1">
        <v>45574</v>
      </c>
      <c r="B177" t="s">
        <v>13</v>
      </c>
      <c r="C177" t="s">
        <v>23</v>
      </c>
      <c r="D177" t="s">
        <v>34</v>
      </c>
      <c r="E177">
        <v>18</v>
      </c>
      <c r="F177">
        <v>1385</v>
      </c>
      <c r="G177" t="s">
        <v>39</v>
      </c>
      <c r="H177">
        <v>24930</v>
      </c>
      <c r="I177">
        <v>21617.797140772818</v>
      </c>
      <c r="J177">
        <v>3312.2028592271781</v>
      </c>
    </row>
    <row r="178" spans="1:10" x14ac:dyDescent="0.35">
      <c r="A178" s="1">
        <v>45412</v>
      </c>
      <c r="B178" t="s">
        <v>13</v>
      </c>
      <c r="C178" t="s">
        <v>23</v>
      </c>
      <c r="D178" t="s">
        <v>30</v>
      </c>
      <c r="E178">
        <v>15</v>
      </c>
      <c r="F178">
        <v>1406</v>
      </c>
      <c r="G178" t="s">
        <v>39</v>
      </c>
      <c r="H178">
        <v>21090</v>
      </c>
      <c r="I178">
        <v>15399.78735496119</v>
      </c>
      <c r="J178">
        <v>5690.2126450388096</v>
      </c>
    </row>
    <row r="179" spans="1:10" x14ac:dyDescent="0.35">
      <c r="A179" s="1">
        <v>45407</v>
      </c>
      <c r="B179" t="s">
        <v>12</v>
      </c>
      <c r="C179" t="s">
        <v>24</v>
      </c>
      <c r="D179" t="s">
        <v>37</v>
      </c>
      <c r="E179">
        <v>2</v>
      </c>
      <c r="F179">
        <v>949</v>
      </c>
      <c r="G179" t="s">
        <v>40</v>
      </c>
      <c r="H179">
        <v>1898</v>
      </c>
      <c r="I179">
        <v>1315.8850018093699</v>
      </c>
      <c r="J179">
        <v>582.11499819062988</v>
      </c>
    </row>
    <row r="180" spans="1:10" x14ac:dyDescent="0.35">
      <c r="A180" s="1">
        <v>45524</v>
      </c>
      <c r="B180" t="s">
        <v>12</v>
      </c>
      <c r="C180" t="s">
        <v>24</v>
      </c>
      <c r="D180" t="s">
        <v>37</v>
      </c>
      <c r="E180">
        <v>13</v>
      </c>
      <c r="F180">
        <v>955</v>
      </c>
      <c r="G180" t="s">
        <v>40</v>
      </c>
      <c r="H180">
        <v>12415</v>
      </c>
      <c r="I180">
        <v>10860.82329453537</v>
      </c>
      <c r="J180">
        <v>1554.1767054646321</v>
      </c>
    </row>
    <row r="181" spans="1:10" x14ac:dyDescent="0.35">
      <c r="A181" s="1">
        <v>45550</v>
      </c>
      <c r="B181" t="s">
        <v>11</v>
      </c>
      <c r="C181" t="s">
        <v>18</v>
      </c>
      <c r="D181" t="s">
        <v>33</v>
      </c>
      <c r="E181">
        <v>4</v>
      </c>
      <c r="F181">
        <v>328</v>
      </c>
      <c r="G181" t="s">
        <v>39</v>
      </c>
      <c r="H181">
        <v>1312</v>
      </c>
      <c r="I181">
        <v>947.31737687049235</v>
      </c>
      <c r="J181">
        <v>364.68262312950759</v>
      </c>
    </row>
    <row r="182" spans="1:10" x14ac:dyDescent="0.35">
      <c r="A182" s="1">
        <v>45650</v>
      </c>
      <c r="B182" t="s">
        <v>13</v>
      </c>
      <c r="C182" t="s">
        <v>22</v>
      </c>
      <c r="D182" t="s">
        <v>34</v>
      </c>
      <c r="E182">
        <v>10</v>
      </c>
      <c r="F182">
        <v>379</v>
      </c>
      <c r="G182" t="s">
        <v>40</v>
      </c>
      <c r="H182">
        <v>3790</v>
      </c>
      <c r="I182">
        <v>2580.5896186842378</v>
      </c>
      <c r="J182">
        <v>1209.4103813157619</v>
      </c>
    </row>
    <row r="183" spans="1:10" x14ac:dyDescent="0.35">
      <c r="A183" s="1">
        <v>45489</v>
      </c>
      <c r="B183" t="s">
        <v>13</v>
      </c>
      <c r="C183" t="s">
        <v>24</v>
      </c>
      <c r="D183" t="s">
        <v>30</v>
      </c>
      <c r="E183">
        <v>13</v>
      </c>
      <c r="F183">
        <v>1993</v>
      </c>
      <c r="G183" t="s">
        <v>40</v>
      </c>
      <c r="H183">
        <v>25909</v>
      </c>
      <c r="I183">
        <v>16304.490251721711</v>
      </c>
      <c r="J183">
        <v>9604.5097482782876</v>
      </c>
    </row>
    <row r="184" spans="1:10" x14ac:dyDescent="0.35">
      <c r="A184" s="1">
        <v>45428</v>
      </c>
      <c r="B184" t="s">
        <v>13</v>
      </c>
      <c r="C184" t="s">
        <v>19</v>
      </c>
      <c r="D184" t="s">
        <v>31</v>
      </c>
      <c r="F184">
        <v>1413</v>
      </c>
      <c r="G184" t="s">
        <v>40</v>
      </c>
    </row>
    <row r="185" spans="1:10" x14ac:dyDescent="0.35">
      <c r="A185" s="1">
        <v>45609</v>
      </c>
      <c r="B185" t="s">
        <v>13</v>
      </c>
      <c r="C185" t="s">
        <v>22</v>
      </c>
      <c r="D185" t="s">
        <v>33</v>
      </c>
      <c r="E185">
        <v>9</v>
      </c>
      <c r="F185">
        <v>1803</v>
      </c>
      <c r="G185" t="s">
        <v>40</v>
      </c>
      <c r="H185">
        <v>16227</v>
      </c>
      <c r="I185">
        <v>13752.82774030998</v>
      </c>
      <c r="J185">
        <v>2474.1722596900199</v>
      </c>
    </row>
    <row r="186" spans="1:10" x14ac:dyDescent="0.35">
      <c r="A186" s="1">
        <v>45456</v>
      </c>
      <c r="B186" t="s">
        <v>13</v>
      </c>
      <c r="C186" t="s">
        <v>24</v>
      </c>
      <c r="D186" t="s">
        <v>34</v>
      </c>
      <c r="E186">
        <v>8</v>
      </c>
      <c r="F186">
        <v>1170</v>
      </c>
      <c r="G186" t="s">
        <v>40</v>
      </c>
      <c r="H186">
        <v>9360</v>
      </c>
      <c r="I186">
        <v>5709.5001762510028</v>
      </c>
      <c r="J186">
        <v>3650.4998237489972</v>
      </c>
    </row>
    <row r="187" spans="1:10" x14ac:dyDescent="0.35">
      <c r="A187" s="1">
        <v>45516</v>
      </c>
      <c r="B187" t="s">
        <v>10</v>
      </c>
      <c r="C187" t="s">
        <v>17</v>
      </c>
      <c r="D187" t="s">
        <v>30</v>
      </c>
      <c r="E187">
        <v>3</v>
      </c>
      <c r="F187">
        <v>1074</v>
      </c>
      <c r="G187" t="s">
        <v>38</v>
      </c>
      <c r="H187">
        <v>3222</v>
      </c>
      <c r="I187">
        <v>2279.866835414914</v>
      </c>
      <c r="J187">
        <v>942.13316458508643</v>
      </c>
    </row>
    <row r="188" spans="1:10" x14ac:dyDescent="0.35">
      <c r="A188" s="1">
        <v>45598</v>
      </c>
      <c r="B188" t="s">
        <v>12</v>
      </c>
      <c r="C188" t="s">
        <v>21</v>
      </c>
      <c r="D188" t="s">
        <v>30</v>
      </c>
      <c r="E188">
        <v>16</v>
      </c>
      <c r="F188">
        <v>1838</v>
      </c>
      <c r="G188" t="s">
        <v>40</v>
      </c>
      <c r="H188">
        <v>29408</v>
      </c>
      <c r="I188">
        <v>24260.51003304504</v>
      </c>
      <c r="J188">
        <v>5147.4899669549604</v>
      </c>
    </row>
    <row r="189" spans="1:10" x14ac:dyDescent="0.35">
      <c r="A189" s="1">
        <v>45525</v>
      </c>
      <c r="B189" t="s">
        <v>10</v>
      </c>
      <c r="C189" t="s">
        <v>24</v>
      </c>
      <c r="D189" t="s">
        <v>33</v>
      </c>
      <c r="E189">
        <v>14</v>
      </c>
      <c r="F189">
        <v>1337</v>
      </c>
      <c r="G189" t="s">
        <v>40</v>
      </c>
      <c r="H189">
        <v>18718</v>
      </c>
      <c r="I189">
        <v>16545.11262638442</v>
      </c>
      <c r="J189">
        <v>2172.8873736155801</v>
      </c>
    </row>
    <row r="190" spans="1:10" x14ac:dyDescent="0.35">
      <c r="A190" s="1">
        <v>45463</v>
      </c>
      <c r="B190" t="s">
        <v>13</v>
      </c>
      <c r="C190" t="s">
        <v>19</v>
      </c>
      <c r="D190" t="s">
        <v>31</v>
      </c>
      <c r="E190">
        <v>9</v>
      </c>
      <c r="F190">
        <v>857</v>
      </c>
      <c r="G190" t="s">
        <v>40</v>
      </c>
      <c r="H190">
        <v>7713</v>
      </c>
      <c r="I190">
        <v>5502.0337269887259</v>
      </c>
      <c r="J190">
        <v>2210.9662730112741</v>
      </c>
    </row>
    <row r="191" spans="1:10" x14ac:dyDescent="0.35">
      <c r="A191" s="1">
        <v>45443</v>
      </c>
      <c r="B191" t="s">
        <v>11</v>
      </c>
      <c r="C191" t="s">
        <v>20</v>
      </c>
      <c r="D191" t="s">
        <v>34</v>
      </c>
      <c r="E191">
        <v>11</v>
      </c>
      <c r="F191">
        <v>1147</v>
      </c>
      <c r="G191" t="s">
        <v>38</v>
      </c>
      <c r="H191">
        <v>12617</v>
      </c>
      <c r="I191">
        <v>10871.009443114521</v>
      </c>
      <c r="J191">
        <v>1745.990556885479</v>
      </c>
    </row>
    <row r="192" spans="1:10" x14ac:dyDescent="0.35">
      <c r="A192" s="1">
        <v>45606</v>
      </c>
      <c r="B192" t="s">
        <v>11</v>
      </c>
      <c r="C192" t="s">
        <v>24</v>
      </c>
      <c r="D192" t="s">
        <v>30</v>
      </c>
      <c r="E192">
        <v>3</v>
      </c>
      <c r="F192">
        <v>420</v>
      </c>
      <c r="G192" t="s">
        <v>40</v>
      </c>
      <c r="H192">
        <v>1260</v>
      </c>
      <c r="I192">
        <v>904.82631366916985</v>
      </c>
      <c r="J192">
        <v>355.17368633083021</v>
      </c>
    </row>
    <row r="193" spans="1:10" x14ac:dyDescent="0.35">
      <c r="A193" s="1">
        <v>45451</v>
      </c>
      <c r="B193" t="s">
        <v>13</v>
      </c>
      <c r="C193" t="s">
        <v>23</v>
      </c>
      <c r="D193" t="s">
        <v>30</v>
      </c>
      <c r="E193">
        <v>5</v>
      </c>
      <c r="F193">
        <v>373</v>
      </c>
      <c r="G193" t="s">
        <v>39</v>
      </c>
      <c r="H193">
        <v>1865</v>
      </c>
      <c r="I193">
        <v>1219.4272439422621</v>
      </c>
      <c r="J193">
        <v>645.57275605773839</v>
      </c>
    </row>
    <row r="194" spans="1:10" x14ac:dyDescent="0.35">
      <c r="A194" s="1">
        <v>45387</v>
      </c>
      <c r="B194" t="s">
        <v>13</v>
      </c>
      <c r="C194" t="s">
        <v>23</v>
      </c>
      <c r="E194">
        <v>10</v>
      </c>
      <c r="F194">
        <v>655</v>
      </c>
      <c r="G194" t="s">
        <v>39</v>
      </c>
      <c r="H194">
        <v>6550</v>
      </c>
      <c r="I194">
        <v>3936.7716725215491</v>
      </c>
      <c r="J194">
        <v>2613.2283274784509</v>
      </c>
    </row>
    <row r="195" spans="1:10" x14ac:dyDescent="0.35">
      <c r="A195" s="1">
        <v>45524</v>
      </c>
      <c r="B195" t="s">
        <v>11</v>
      </c>
      <c r="C195" t="s">
        <v>23</v>
      </c>
      <c r="D195" t="s">
        <v>35</v>
      </c>
      <c r="E195">
        <v>13</v>
      </c>
      <c r="F195">
        <v>943</v>
      </c>
      <c r="G195" t="s">
        <v>39</v>
      </c>
      <c r="H195">
        <v>12259</v>
      </c>
      <c r="I195">
        <v>8569.7067488493449</v>
      </c>
      <c r="J195">
        <v>3689.2932511506551</v>
      </c>
    </row>
    <row r="196" spans="1:10" x14ac:dyDescent="0.35">
      <c r="A196" s="1">
        <v>45471</v>
      </c>
      <c r="B196" t="s">
        <v>10</v>
      </c>
      <c r="C196" t="s">
        <v>20</v>
      </c>
      <c r="D196" t="s">
        <v>33</v>
      </c>
      <c r="E196">
        <v>4</v>
      </c>
      <c r="F196">
        <v>1436</v>
      </c>
      <c r="G196" t="s">
        <v>38</v>
      </c>
      <c r="H196">
        <v>5744</v>
      </c>
      <c r="I196">
        <v>4098.5882074134061</v>
      </c>
      <c r="J196">
        <v>1645.4117925865939</v>
      </c>
    </row>
    <row r="197" spans="1:10" x14ac:dyDescent="0.35">
      <c r="A197" s="1">
        <v>45404</v>
      </c>
      <c r="B197" t="s">
        <v>10</v>
      </c>
      <c r="C197" t="s">
        <v>23</v>
      </c>
      <c r="D197" t="s">
        <v>33</v>
      </c>
      <c r="E197">
        <v>13</v>
      </c>
      <c r="F197">
        <v>1486</v>
      </c>
      <c r="G197" t="s">
        <v>39</v>
      </c>
      <c r="H197">
        <v>19318</v>
      </c>
      <c r="I197">
        <v>17068.134126913668</v>
      </c>
      <c r="J197">
        <v>2249.8658730863322</v>
      </c>
    </row>
    <row r="198" spans="1:10" x14ac:dyDescent="0.35">
      <c r="A198" s="1">
        <v>45609</v>
      </c>
      <c r="B198" t="s">
        <v>13</v>
      </c>
      <c r="C198" t="s">
        <v>17</v>
      </c>
      <c r="D198" t="s">
        <v>36</v>
      </c>
      <c r="E198">
        <v>12</v>
      </c>
      <c r="F198">
        <v>767</v>
      </c>
      <c r="G198" t="s">
        <v>38</v>
      </c>
      <c r="H198">
        <v>9204</v>
      </c>
      <c r="I198">
        <v>6091.4011809838239</v>
      </c>
      <c r="J198">
        <v>3112.5988190161761</v>
      </c>
    </row>
    <row r="199" spans="1:10" x14ac:dyDescent="0.35">
      <c r="A199" s="1">
        <v>45343</v>
      </c>
      <c r="B199" t="s">
        <v>10</v>
      </c>
      <c r="C199" t="s">
        <v>24</v>
      </c>
      <c r="E199">
        <v>5</v>
      </c>
      <c r="F199">
        <v>1099</v>
      </c>
      <c r="G199" t="s">
        <v>40</v>
      </c>
      <c r="H199">
        <v>5495</v>
      </c>
      <c r="I199">
        <v>3927.1073221668562</v>
      </c>
      <c r="J199">
        <v>1567.892677833144</v>
      </c>
    </row>
    <row r="200" spans="1:10" x14ac:dyDescent="0.35">
      <c r="A200" s="1">
        <v>45559</v>
      </c>
      <c r="B200" t="s">
        <v>11</v>
      </c>
      <c r="C200" t="s">
        <v>18</v>
      </c>
      <c r="D200" t="s">
        <v>32</v>
      </c>
      <c r="E200">
        <v>10</v>
      </c>
      <c r="F200">
        <v>479</v>
      </c>
      <c r="G200" t="s">
        <v>39</v>
      </c>
      <c r="H200">
        <v>4790</v>
      </c>
      <c r="I200">
        <v>2910.146484555813</v>
      </c>
      <c r="J200">
        <v>1879.853515444187</v>
      </c>
    </row>
    <row r="201" spans="1:10" x14ac:dyDescent="0.35">
      <c r="A201" s="1">
        <v>45586</v>
      </c>
      <c r="B201" t="s">
        <v>10</v>
      </c>
      <c r="C201" t="s">
        <v>23</v>
      </c>
      <c r="D201" t="s">
        <v>35</v>
      </c>
      <c r="E201">
        <v>9</v>
      </c>
      <c r="G201" t="s">
        <v>39</v>
      </c>
    </row>
    <row r="202" spans="1:10" x14ac:dyDescent="0.35">
      <c r="A202" s="1">
        <v>45404</v>
      </c>
      <c r="B202" t="s">
        <v>13</v>
      </c>
      <c r="C202" t="s">
        <v>22</v>
      </c>
      <c r="D202" t="s">
        <v>34</v>
      </c>
      <c r="E202">
        <v>7</v>
      </c>
      <c r="F202">
        <v>1797</v>
      </c>
      <c r="G202" t="s">
        <v>40</v>
      </c>
      <c r="H202">
        <v>12579</v>
      </c>
      <c r="I202">
        <v>11000.868483255441</v>
      </c>
      <c r="J202">
        <v>1578.1315167445571</v>
      </c>
    </row>
    <row r="203" spans="1:10" x14ac:dyDescent="0.35">
      <c r="A203" s="1">
        <v>45392</v>
      </c>
      <c r="B203" t="s">
        <v>11</v>
      </c>
      <c r="C203" t="s">
        <v>18</v>
      </c>
      <c r="D203" t="s">
        <v>34</v>
      </c>
      <c r="E203">
        <v>2</v>
      </c>
      <c r="F203">
        <v>1593</v>
      </c>
      <c r="G203" t="s">
        <v>39</v>
      </c>
      <c r="H203">
        <v>3186</v>
      </c>
      <c r="I203">
        <v>2138.908974666871</v>
      </c>
      <c r="J203">
        <v>1047.091025333129</v>
      </c>
    </row>
    <row r="204" spans="1:10" x14ac:dyDescent="0.35">
      <c r="A204" s="1">
        <v>45404</v>
      </c>
      <c r="B204" t="s">
        <v>10</v>
      </c>
      <c r="C204" t="s">
        <v>20</v>
      </c>
      <c r="D204" t="s">
        <v>34</v>
      </c>
      <c r="E204">
        <v>7</v>
      </c>
      <c r="F204">
        <v>845</v>
      </c>
      <c r="G204" t="s">
        <v>38</v>
      </c>
      <c r="H204">
        <v>5915</v>
      </c>
      <c r="I204">
        <v>4310.2518238309722</v>
      </c>
      <c r="J204">
        <v>1604.7481761690281</v>
      </c>
    </row>
    <row r="205" spans="1:10" x14ac:dyDescent="0.35">
      <c r="A205" s="1">
        <v>45372</v>
      </c>
      <c r="B205" t="s">
        <v>50</v>
      </c>
      <c r="C205" t="s">
        <v>17</v>
      </c>
      <c r="D205" t="s">
        <v>35</v>
      </c>
      <c r="E205">
        <v>8</v>
      </c>
      <c r="F205">
        <v>774</v>
      </c>
      <c r="G205" t="s">
        <v>38</v>
      </c>
      <c r="H205">
        <v>6192</v>
      </c>
      <c r="I205">
        <v>3942.0364054494698</v>
      </c>
      <c r="J205">
        <v>2249.9635945505302</v>
      </c>
    </row>
    <row r="206" spans="1:10" x14ac:dyDescent="0.35">
      <c r="A206" s="1">
        <v>45478</v>
      </c>
      <c r="B206" t="s">
        <v>11</v>
      </c>
      <c r="C206" t="s">
        <v>22</v>
      </c>
      <c r="D206" t="s">
        <v>30</v>
      </c>
      <c r="E206">
        <v>7</v>
      </c>
      <c r="F206">
        <v>215</v>
      </c>
      <c r="G206" t="s">
        <v>40</v>
      </c>
      <c r="H206">
        <v>1505</v>
      </c>
      <c r="I206">
        <v>1109.2611967862699</v>
      </c>
      <c r="J206">
        <v>395.73880321372991</v>
      </c>
    </row>
    <row r="207" spans="1:10" x14ac:dyDescent="0.35">
      <c r="A207" s="1">
        <v>45404</v>
      </c>
      <c r="B207" t="s">
        <v>11</v>
      </c>
      <c r="C207" t="s">
        <v>22</v>
      </c>
      <c r="D207" t="s">
        <v>34</v>
      </c>
      <c r="E207">
        <v>14</v>
      </c>
      <c r="F207">
        <v>704</v>
      </c>
      <c r="G207" t="s">
        <v>40</v>
      </c>
      <c r="H207">
        <v>9856</v>
      </c>
      <c r="I207">
        <v>6307.8669965028612</v>
      </c>
      <c r="J207">
        <v>3548.1330034971388</v>
      </c>
    </row>
    <row r="208" spans="1:10" x14ac:dyDescent="0.35">
      <c r="A208" s="1">
        <v>45293</v>
      </c>
      <c r="B208" t="s">
        <v>12</v>
      </c>
      <c r="C208" t="s">
        <v>22</v>
      </c>
      <c r="D208" t="s">
        <v>34</v>
      </c>
      <c r="E208">
        <v>19</v>
      </c>
      <c r="G208" t="s">
        <v>40</v>
      </c>
    </row>
    <row r="209" spans="1:10" x14ac:dyDescent="0.35">
      <c r="A209" s="1">
        <v>45421</v>
      </c>
      <c r="B209" t="s">
        <v>12</v>
      </c>
      <c r="C209" t="s">
        <v>22</v>
      </c>
      <c r="D209" t="s">
        <v>31</v>
      </c>
      <c r="E209">
        <v>5</v>
      </c>
      <c r="F209">
        <v>1919</v>
      </c>
      <c r="G209" t="s">
        <v>40</v>
      </c>
      <c r="H209">
        <v>9595</v>
      </c>
      <c r="I209">
        <v>7871.6095433841829</v>
      </c>
      <c r="J209">
        <v>1723.3904566158169</v>
      </c>
    </row>
    <row r="210" spans="1:10" x14ac:dyDescent="0.35">
      <c r="A210" s="1">
        <v>45511</v>
      </c>
      <c r="B210" t="s">
        <v>11</v>
      </c>
      <c r="C210" t="s">
        <v>18</v>
      </c>
      <c r="D210" t="s">
        <v>37</v>
      </c>
      <c r="E210">
        <v>18</v>
      </c>
      <c r="F210">
        <v>478</v>
      </c>
      <c r="G210" t="s">
        <v>39</v>
      </c>
      <c r="H210">
        <v>8604</v>
      </c>
      <c r="I210">
        <v>6590.6883703503308</v>
      </c>
      <c r="J210">
        <v>2013.3116296496689</v>
      </c>
    </row>
    <row r="211" spans="1:10" x14ac:dyDescent="0.35">
      <c r="A211" s="1">
        <v>45345</v>
      </c>
      <c r="B211" t="s">
        <v>12</v>
      </c>
      <c r="C211" t="s">
        <v>18</v>
      </c>
      <c r="D211" t="s">
        <v>37</v>
      </c>
      <c r="E211">
        <v>12</v>
      </c>
      <c r="F211">
        <v>1845</v>
      </c>
      <c r="G211" t="s">
        <v>39</v>
      </c>
      <c r="H211">
        <v>22140</v>
      </c>
      <c r="I211">
        <v>14912.748439648951</v>
      </c>
      <c r="J211">
        <v>7227.2515603510492</v>
      </c>
    </row>
    <row r="212" spans="1:10" x14ac:dyDescent="0.35">
      <c r="A212" s="1">
        <v>45634</v>
      </c>
      <c r="B212" t="s">
        <v>13</v>
      </c>
      <c r="C212" t="s">
        <v>24</v>
      </c>
      <c r="D212" t="s">
        <v>36</v>
      </c>
      <c r="E212">
        <v>17</v>
      </c>
      <c r="F212">
        <v>1329</v>
      </c>
      <c r="G212" t="s">
        <v>40</v>
      </c>
      <c r="H212">
        <v>22593</v>
      </c>
      <c r="I212">
        <v>15953.79380990969</v>
      </c>
      <c r="J212">
        <v>6639.2061900903082</v>
      </c>
    </row>
    <row r="213" spans="1:10" x14ac:dyDescent="0.35">
      <c r="A213" s="1">
        <v>45515</v>
      </c>
      <c r="B213" t="s">
        <v>50</v>
      </c>
      <c r="C213" t="s">
        <v>23</v>
      </c>
      <c r="D213" t="s">
        <v>36</v>
      </c>
      <c r="E213">
        <v>13</v>
      </c>
      <c r="F213">
        <v>565</v>
      </c>
      <c r="G213" t="s">
        <v>39</v>
      </c>
      <c r="H213">
        <v>7345</v>
      </c>
      <c r="I213">
        <v>5814.0950275343603</v>
      </c>
      <c r="J213">
        <v>1530.90497246564</v>
      </c>
    </row>
    <row r="214" spans="1:10" x14ac:dyDescent="0.35">
      <c r="A214" s="1">
        <v>45516</v>
      </c>
      <c r="B214" t="s">
        <v>13</v>
      </c>
      <c r="C214" t="s">
        <v>21</v>
      </c>
      <c r="D214" t="s">
        <v>34</v>
      </c>
      <c r="E214">
        <v>2</v>
      </c>
      <c r="F214">
        <v>1855</v>
      </c>
      <c r="G214" t="s">
        <v>40</v>
      </c>
      <c r="H214">
        <v>3710</v>
      </c>
      <c r="I214">
        <v>2882.3977799995191</v>
      </c>
      <c r="J214">
        <v>827.60222000048088</v>
      </c>
    </row>
    <row r="215" spans="1:10" x14ac:dyDescent="0.35">
      <c r="A215" s="1">
        <v>45417</v>
      </c>
      <c r="B215" t="s">
        <v>11</v>
      </c>
      <c r="C215" t="s">
        <v>24</v>
      </c>
      <c r="D215" t="s">
        <v>31</v>
      </c>
      <c r="E215">
        <v>13</v>
      </c>
      <c r="F215">
        <v>379</v>
      </c>
      <c r="G215" t="s">
        <v>40</v>
      </c>
      <c r="H215">
        <v>4927</v>
      </c>
      <c r="I215">
        <v>3158.366814322143</v>
      </c>
      <c r="J215">
        <v>1768.633185677857</v>
      </c>
    </row>
    <row r="216" spans="1:10" x14ac:dyDescent="0.35">
      <c r="A216" s="1">
        <v>45421</v>
      </c>
      <c r="B216" t="s">
        <v>12</v>
      </c>
      <c r="C216" t="s">
        <v>24</v>
      </c>
      <c r="D216" t="s">
        <v>34</v>
      </c>
      <c r="E216">
        <v>7</v>
      </c>
      <c r="F216">
        <v>1771</v>
      </c>
      <c r="G216" t="s">
        <v>40</v>
      </c>
      <c r="H216">
        <v>12397</v>
      </c>
      <c r="I216">
        <v>10580.65158713969</v>
      </c>
      <c r="J216">
        <v>1816.348412860307</v>
      </c>
    </row>
    <row r="217" spans="1:10" x14ac:dyDescent="0.35">
      <c r="A217" s="1">
        <v>45344</v>
      </c>
      <c r="B217" t="s">
        <v>12</v>
      </c>
      <c r="C217" t="s">
        <v>17</v>
      </c>
      <c r="D217" t="s">
        <v>36</v>
      </c>
      <c r="E217">
        <v>10</v>
      </c>
      <c r="F217">
        <v>717</v>
      </c>
      <c r="G217" t="s">
        <v>38</v>
      </c>
      <c r="H217">
        <v>7170</v>
      </c>
      <c r="I217">
        <v>5324.1313502433304</v>
      </c>
      <c r="J217">
        <v>1845.86864975667</v>
      </c>
    </row>
    <row r="218" spans="1:10" x14ac:dyDescent="0.35">
      <c r="A218" s="1">
        <v>45463</v>
      </c>
      <c r="B218" t="s">
        <v>10</v>
      </c>
      <c r="C218" t="s">
        <v>17</v>
      </c>
      <c r="D218" t="s">
        <v>35</v>
      </c>
      <c r="E218">
        <v>6</v>
      </c>
      <c r="F218">
        <v>217</v>
      </c>
      <c r="G218" t="s">
        <v>38</v>
      </c>
      <c r="H218">
        <v>1302</v>
      </c>
      <c r="I218">
        <v>844.62141910000912</v>
      </c>
      <c r="J218">
        <v>457.37858089999088</v>
      </c>
    </row>
    <row r="219" spans="1:10" x14ac:dyDescent="0.35">
      <c r="A219" s="1">
        <v>45509</v>
      </c>
      <c r="B219" t="s">
        <v>10</v>
      </c>
      <c r="C219" t="s">
        <v>23</v>
      </c>
      <c r="D219" t="s">
        <v>35</v>
      </c>
      <c r="E219">
        <v>3</v>
      </c>
      <c r="F219">
        <v>1360</v>
      </c>
      <c r="G219" t="s">
        <v>39</v>
      </c>
      <c r="H219">
        <v>4080</v>
      </c>
      <c r="I219">
        <v>2598.3396881114691</v>
      </c>
      <c r="J219">
        <v>1481.6603118885309</v>
      </c>
    </row>
    <row r="220" spans="1:10" x14ac:dyDescent="0.35">
      <c r="A220" s="1">
        <v>45451</v>
      </c>
      <c r="B220" t="s">
        <v>12</v>
      </c>
      <c r="C220" t="s">
        <v>21</v>
      </c>
      <c r="D220" t="s">
        <v>30</v>
      </c>
      <c r="E220">
        <v>3</v>
      </c>
      <c r="F220">
        <v>408</v>
      </c>
      <c r="G220" t="s">
        <v>40</v>
      </c>
      <c r="H220">
        <v>1224</v>
      </c>
      <c r="I220">
        <v>1088.9506116496921</v>
      </c>
      <c r="J220">
        <v>135.04938835030819</v>
      </c>
    </row>
    <row r="221" spans="1:10" x14ac:dyDescent="0.35">
      <c r="A221" s="1">
        <v>45489</v>
      </c>
      <c r="B221" t="s">
        <v>12</v>
      </c>
      <c r="C221" t="s">
        <v>17</v>
      </c>
      <c r="D221" t="s">
        <v>32</v>
      </c>
      <c r="E221">
        <v>18</v>
      </c>
      <c r="F221">
        <v>1579</v>
      </c>
      <c r="G221" t="s">
        <v>38</v>
      </c>
      <c r="H221">
        <v>28422</v>
      </c>
      <c r="I221">
        <v>19453.73727893236</v>
      </c>
      <c r="J221">
        <v>8968.2627210676437</v>
      </c>
    </row>
    <row r="222" spans="1:10" x14ac:dyDescent="0.35">
      <c r="A222" s="1">
        <v>45538</v>
      </c>
      <c r="B222" t="s">
        <v>12</v>
      </c>
      <c r="C222" t="s">
        <v>23</v>
      </c>
      <c r="D222" t="s">
        <v>37</v>
      </c>
      <c r="E222">
        <v>11</v>
      </c>
      <c r="F222">
        <v>1598</v>
      </c>
      <c r="G222" t="s">
        <v>39</v>
      </c>
      <c r="H222">
        <v>17578</v>
      </c>
      <c r="I222">
        <v>15338.177426518219</v>
      </c>
      <c r="J222">
        <v>2239.822573481782</v>
      </c>
    </row>
    <row r="223" spans="1:10" x14ac:dyDescent="0.35">
      <c r="A223" s="1">
        <v>45615</v>
      </c>
      <c r="B223" t="s">
        <v>11</v>
      </c>
      <c r="C223" t="s">
        <v>23</v>
      </c>
      <c r="E223">
        <v>5</v>
      </c>
      <c r="F223">
        <v>199</v>
      </c>
      <c r="G223" t="s">
        <v>39</v>
      </c>
      <c r="H223">
        <v>995</v>
      </c>
      <c r="I223">
        <v>719.55971168252825</v>
      </c>
      <c r="J223">
        <v>275.44028831747181</v>
      </c>
    </row>
    <row r="224" spans="1:10" x14ac:dyDescent="0.35">
      <c r="A224" s="1">
        <v>45494</v>
      </c>
      <c r="B224" t="s">
        <v>12</v>
      </c>
      <c r="C224" t="s">
        <v>18</v>
      </c>
      <c r="D224" t="s">
        <v>33</v>
      </c>
      <c r="E224">
        <v>19</v>
      </c>
      <c r="F224">
        <v>360</v>
      </c>
      <c r="G224" t="s">
        <v>39</v>
      </c>
      <c r="H224">
        <v>6840</v>
      </c>
      <c r="I224">
        <v>4895.9107752899463</v>
      </c>
      <c r="J224">
        <v>1944.0892247100539</v>
      </c>
    </row>
    <row r="225" spans="1:10" x14ac:dyDescent="0.35">
      <c r="A225" s="1">
        <v>45475</v>
      </c>
      <c r="B225" t="s">
        <v>10</v>
      </c>
      <c r="D225" t="s">
        <v>37</v>
      </c>
      <c r="E225">
        <v>19</v>
      </c>
      <c r="F225">
        <v>1092</v>
      </c>
      <c r="G225" t="s">
        <v>40</v>
      </c>
      <c r="H225">
        <v>20748</v>
      </c>
      <c r="I225">
        <v>16811.66227868593</v>
      </c>
      <c r="J225">
        <v>3936.3377213140739</v>
      </c>
    </row>
    <row r="226" spans="1:10" x14ac:dyDescent="0.35">
      <c r="A226" s="1">
        <v>45414</v>
      </c>
      <c r="B226" t="s">
        <v>11</v>
      </c>
      <c r="C226" t="s">
        <v>18</v>
      </c>
      <c r="D226" t="s">
        <v>33</v>
      </c>
      <c r="E226">
        <v>15</v>
      </c>
      <c r="F226">
        <v>1428</v>
      </c>
      <c r="G226" t="s">
        <v>39</v>
      </c>
      <c r="H226">
        <v>21420</v>
      </c>
      <c r="I226">
        <v>12915.510007245121</v>
      </c>
      <c r="J226">
        <v>8504.489992754885</v>
      </c>
    </row>
    <row r="227" spans="1:10" x14ac:dyDescent="0.35">
      <c r="A227" s="1">
        <v>45546</v>
      </c>
      <c r="B227" t="s">
        <v>12</v>
      </c>
      <c r="C227" t="s">
        <v>21</v>
      </c>
      <c r="D227" t="s">
        <v>32</v>
      </c>
      <c r="E227">
        <v>16</v>
      </c>
      <c r="F227">
        <v>1477</v>
      </c>
      <c r="G227" t="s">
        <v>40</v>
      </c>
      <c r="H227">
        <v>23632</v>
      </c>
      <c r="I227">
        <v>16576.119472550821</v>
      </c>
      <c r="J227">
        <v>7055.8805274491824</v>
      </c>
    </row>
    <row r="228" spans="1:10" x14ac:dyDescent="0.35">
      <c r="A228" s="1">
        <v>45585</v>
      </c>
      <c r="B228" t="s">
        <v>10</v>
      </c>
      <c r="C228" t="s">
        <v>17</v>
      </c>
      <c r="D228" t="s">
        <v>32</v>
      </c>
      <c r="E228">
        <v>9</v>
      </c>
      <c r="F228">
        <v>385</v>
      </c>
      <c r="G228" t="s">
        <v>38</v>
      </c>
      <c r="H228">
        <v>3465</v>
      </c>
      <c r="I228">
        <v>2393.6002178233848</v>
      </c>
      <c r="J228">
        <v>1071.399782176615</v>
      </c>
    </row>
    <row r="229" spans="1:10" x14ac:dyDescent="0.35">
      <c r="A229" s="1">
        <v>45571</v>
      </c>
      <c r="B229" t="s">
        <v>11</v>
      </c>
      <c r="C229" t="s">
        <v>21</v>
      </c>
      <c r="D229" t="s">
        <v>34</v>
      </c>
      <c r="E229">
        <v>4</v>
      </c>
      <c r="F229">
        <v>-10</v>
      </c>
      <c r="G229" t="s">
        <v>40</v>
      </c>
      <c r="H229">
        <v>-40</v>
      </c>
      <c r="I229">
        <v>-34.41717713140855</v>
      </c>
      <c r="J229">
        <v>-5.5828228685914496</v>
      </c>
    </row>
    <row r="230" spans="1:10" x14ac:dyDescent="0.35">
      <c r="A230" s="1">
        <v>45616</v>
      </c>
      <c r="B230" t="s">
        <v>12</v>
      </c>
      <c r="C230" t="s">
        <v>24</v>
      </c>
      <c r="D230" t="s">
        <v>36</v>
      </c>
      <c r="E230">
        <v>15</v>
      </c>
      <c r="F230">
        <v>1226</v>
      </c>
      <c r="G230" t="s">
        <v>40</v>
      </c>
      <c r="H230">
        <v>18390</v>
      </c>
      <c r="I230">
        <v>13953.174564777661</v>
      </c>
      <c r="J230">
        <v>4436.8254352223375</v>
      </c>
    </row>
    <row r="231" spans="1:10" x14ac:dyDescent="0.35">
      <c r="A231" s="1">
        <v>45389</v>
      </c>
      <c r="B231" t="s">
        <v>12</v>
      </c>
      <c r="C231" t="s">
        <v>24</v>
      </c>
      <c r="D231" t="s">
        <v>32</v>
      </c>
      <c r="E231">
        <v>12</v>
      </c>
      <c r="F231">
        <v>162</v>
      </c>
      <c r="G231" t="s">
        <v>40</v>
      </c>
      <c r="H231">
        <v>1944</v>
      </c>
      <c r="I231">
        <v>1379.0173156931839</v>
      </c>
      <c r="J231">
        <v>564.98268430681628</v>
      </c>
    </row>
    <row r="232" spans="1:10" x14ac:dyDescent="0.35">
      <c r="A232" s="1">
        <v>45489</v>
      </c>
      <c r="B232" t="s">
        <v>12</v>
      </c>
      <c r="C232" t="s">
        <v>21</v>
      </c>
      <c r="D232" t="s">
        <v>32</v>
      </c>
      <c r="E232">
        <v>3</v>
      </c>
      <c r="F232">
        <v>786</v>
      </c>
      <c r="G232" t="s">
        <v>40</v>
      </c>
      <c r="H232">
        <v>2358</v>
      </c>
      <c r="I232">
        <v>1603.02450410602</v>
      </c>
      <c r="J232">
        <v>754.97549589397954</v>
      </c>
    </row>
    <row r="233" spans="1:10" x14ac:dyDescent="0.35">
      <c r="A233" s="1">
        <v>45531</v>
      </c>
      <c r="B233" t="s">
        <v>11</v>
      </c>
      <c r="C233" t="s">
        <v>19</v>
      </c>
      <c r="D233" t="s">
        <v>33</v>
      </c>
      <c r="E233">
        <v>14</v>
      </c>
      <c r="F233">
        <v>1405</v>
      </c>
      <c r="G233" t="s">
        <v>40</v>
      </c>
      <c r="H233">
        <v>19670</v>
      </c>
      <c r="I233">
        <v>15286.59838179152</v>
      </c>
      <c r="J233">
        <v>4383.4016182084779</v>
      </c>
    </row>
    <row r="234" spans="1:10" x14ac:dyDescent="0.35">
      <c r="A234" s="1">
        <v>45435</v>
      </c>
      <c r="B234" t="s">
        <v>10</v>
      </c>
      <c r="C234" t="s">
        <v>19</v>
      </c>
      <c r="D234" t="s">
        <v>36</v>
      </c>
      <c r="E234">
        <v>17</v>
      </c>
      <c r="F234">
        <v>1564</v>
      </c>
      <c r="G234" t="s">
        <v>40</v>
      </c>
      <c r="H234">
        <v>26588</v>
      </c>
      <c r="I234">
        <v>17162.605638230089</v>
      </c>
      <c r="J234">
        <v>9425.3943617699078</v>
      </c>
    </row>
    <row r="235" spans="1:10" x14ac:dyDescent="0.35">
      <c r="A235" s="1">
        <v>45388</v>
      </c>
      <c r="B235" t="s">
        <v>10</v>
      </c>
      <c r="C235" t="s">
        <v>18</v>
      </c>
      <c r="D235" t="s">
        <v>32</v>
      </c>
      <c r="E235">
        <v>19</v>
      </c>
      <c r="F235">
        <v>1416</v>
      </c>
      <c r="G235" t="s">
        <v>39</v>
      </c>
      <c r="H235">
        <v>26904</v>
      </c>
      <c r="I235">
        <v>18129.567927588079</v>
      </c>
      <c r="J235">
        <v>8774.4320724119207</v>
      </c>
    </row>
    <row r="236" spans="1:10" x14ac:dyDescent="0.35">
      <c r="A236" s="1">
        <v>45492</v>
      </c>
      <c r="B236" t="s">
        <v>13</v>
      </c>
      <c r="C236" t="s">
        <v>21</v>
      </c>
      <c r="D236" t="s">
        <v>37</v>
      </c>
      <c r="E236">
        <v>6</v>
      </c>
      <c r="F236">
        <v>837</v>
      </c>
      <c r="G236" t="s">
        <v>40</v>
      </c>
      <c r="H236">
        <v>5022</v>
      </c>
      <c r="I236">
        <v>3455.5560878865522</v>
      </c>
      <c r="J236">
        <v>1566.4439121134481</v>
      </c>
    </row>
    <row r="237" spans="1:10" x14ac:dyDescent="0.35">
      <c r="A237" s="1">
        <v>45415</v>
      </c>
      <c r="B237" t="s">
        <v>12</v>
      </c>
      <c r="C237" t="s">
        <v>17</v>
      </c>
      <c r="D237" t="s">
        <v>30</v>
      </c>
      <c r="E237">
        <v>4</v>
      </c>
      <c r="F237">
        <v>1130</v>
      </c>
      <c r="G237" t="s">
        <v>38</v>
      </c>
      <c r="H237">
        <v>4520</v>
      </c>
      <c r="I237">
        <v>3536.3245329550118</v>
      </c>
      <c r="J237">
        <v>983.67546704498818</v>
      </c>
    </row>
    <row r="238" spans="1:10" x14ac:dyDescent="0.35">
      <c r="A238" s="1">
        <v>45478</v>
      </c>
      <c r="B238" t="s">
        <v>13</v>
      </c>
      <c r="C238" t="s">
        <v>18</v>
      </c>
      <c r="D238" t="s">
        <v>32</v>
      </c>
      <c r="E238">
        <v>7</v>
      </c>
      <c r="F238">
        <v>738</v>
      </c>
      <c r="G238" t="s">
        <v>39</v>
      </c>
      <c r="H238">
        <v>5166</v>
      </c>
      <c r="I238">
        <v>3678.0705354837328</v>
      </c>
      <c r="J238">
        <v>1487.929464516267</v>
      </c>
    </row>
    <row r="239" spans="1:10" x14ac:dyDescent="0.35">
      <c r="A239" s="1">
        <v>45617</v>
      </c>
      <c r="B239" t="s">
        <v>13</v>
      </c>
      <c r="C239" t="s">
        <v>20</v>
      </c>
      <c r="D239" t="s">
        <v>30</v>
      </c>
      <c r="E239">
        <v>19</v>
      </c>
      <c r="F239">
        <v>1035</v>
      </c>
      <c r="G239" t="s">
        <v>38</v>
      </c>
      <c r="H239">
        <v>19665</v>
      </c>
      <c r="I239">
        <v>14782.868579058229</v>
      </c>
      <c r="J239">
        <v>4882.1314209417687</v>
      </c>
    </row>
    <row r="240" spans="1:10" x14ac:dyDescent="0.35">
      <c r="A240" s="1">
        <v>45640</v>
      </c>
      <c r="B240" t="s">
        <v>10</v>
      </c>
      <c r="C240" t="s">
        <v>19</v>
      </c>
      <c r="D240" t="s">
        <v>36</v>
      </c>
      <c r="E240">
        <v>17</v>
      </c>
      <c r="F240">
        <v>1215</v>
      </c>
      <c r="G240" t="s">
        <v>40</v>
      </c>
      <c r="H240">
        <v>20655</v>
      </c>
      <c r="I240">
        <v>16423.440701429648</v>
      </c>
      <c r="J240">
        <v>4231.5592985703479</v>
      </c>
    </row>
    <row r="241" spans="1:10" x14ac:dyDescent="0.35">
      <c r="A241" s="1">
        <v>45550</v>
      </c>
      <c r="B241" t="s">
        <v>11</v>
      </c>
      <c r="C241" t="s">
        <v>22</v>
      </c>
      <c r="D241" t="s">
        <v>34</v>
      </c>
      <c r="E241">
        <v>16</v>
      </c>
      <c r="F241">
        <v>1313</v>
      </c>
      <c r="G241" t="s">
        <v>40</v>
      </c>
      <c r="H241">
        <v>21008</v>
      </c>
      <c r="I241">
        <v>18631.606136930372</v>
      </c>
      <c r="J241">
        <v>2376.3938630696321</v>
      </c>
    </row>
    <row r="242" spans="1:10" x14ac:dyDescent="0.35">
      <c r="A242" s="1">
        <v>45439</v>
      </c>
      <c r="B242" t="s">
        <v>11</v>
      </c>
      <c r="C242" t="s">
        <v>18</v>
      </c>
      <c r="D242" t="s">
        <v>31</v>
      </c>
      <c r="F242">
        <v>1994</v>
      </c>
      <c r="G242" t="s">
        <v>39</v>
      </c>
    </row>
    <row r="243" spans="1:10" x14ac:dyDescent="0.35">
      <c r="A243" s="1">
        <v>45543</v>
      </c>
      <c r="B243" t="s">
        <v>10</v>
      </c>
      <c r="C243" t="s">
        <v>24</v>
      </c>
      <c r="D243" t="s">
        <v>36</v>
      </c>
      <c r="E243">
        <v>8</v>
      </c>
      <c r="F243">
        <v>575</v>
      </c>
      <c r="G243" t="s">
        <v>40</v>
      </c>
      <c r="H243">
        <v>4600</v>
      </c>
      <c r="I243">
        <v>3319.254357189508</v>
      </c>
      <c r="J243">
        <v>1280.745642810492</v>
      </c>
    </row>
    <row r="244" spans="1:10" x14ac:dyDescent="0.35">
      <c r="A244" s="1">
        <v>45637</v>
      </c>
      <c r="B244" t="s">
        <v>11</v>
      </c>
      <c r="C244" t="s">
        <v>18</v>
      </c>
      <c r="D244" t="s">
        <v>33</v>
      </c>
      <c r="E244">
        <v>19</v>
      </c>
      <c r="F244">
        <v>1634</v>
      </c>
      <c r="G244" t="s">
        <v>39</v>
      </c>
      <c r="H244">
        <v>31046</v>
      </c>
      <c r="I244">
        <v>25596.887182061171</v>
      </c>
      <c r="J244">
        <v>5449.1128179388288</v>
      </c>
    </row>
    <row r="245" spans="1:10" x14ac:dyDescent="0.35">
      <c r="A245" s="1">
        <v>45438</v>
      </c>
      <c r="B245" t="s">
        <v>13</v>
      </c>
      <c r="C245" t="s">
        <v>21</v>
      </c>
      <c r="D245" t="s">
        <v>31</v>
      </c>
      <c r="E245">
        <v>8</v>
      </c>
      <c r="F245">
        <v>1585</v>
      </c>
      <c r="G245" t="s">
        <v>40</v>
      </c>
      <c r="H245">
        <v>12680</v>
      </c>
      <c r="I245">
        <v>11220.636664216679</v>
      </c>
      <c r="J245">
        <v>1459.3633357833151</v>
      </c>
    </row>
    <row r="246" spans="1:10" x14ac:dyDescent="0.35">
      <c r="A246" s="1">
        <v>45439</v>
      </c>
      <c r="B246" t="s">
        <v>12</v>
      </c>
      <c r="C246" t="s">
        <v>22</v>
      </c>
      <c r="D246" t="s">
        <v>37</v>
      </c>
      <c r="E246">
        <v>18</v>
      </c>
      <c r="F246">
        <v>152</v>
      </c>
      <c r="G246" t="s">
        <v>40</v>
      </c>
      <c r="H246">
        <v>2736</v>
      </c>
      <c r="I246">
        <v>2051.4915518729058</v>
      </c>
      <c r="J246">
        <v>684.5084481270942</v>
      </c>
    </row>
    <row r="247" spans="1:10" x14ac:dyDescent="0.35">
      <c r="A247" s="1">
        <v>45643</v>
      </c>
      <c r="B247" t="s">
        <v>10</v>
      </c>
      <c r="C247" t="s">
        <v>21</v>
      </c>
      <c r="D247" t="s">
        <v>35</v>
      </c>
      <c r="E247">
        <v>16</v>
      </c>
      <c r="F247">
        <v>853</v>
      </c>
      <c r="G247" t="s">
        <v>40</v>
      </c>
      <c r="H247">
        <v>13648</v>
      </c>
      <c r="I247">
        <v>9869.5386429783593</v>
      </c>
      <c r="J247">
        <v>3778.4613570216411</v>
      </c>
    </row>
    <row r="248" spans="1:10" x14ac:dyDescent="0.35">
      <c r="A248" s="1">
        <v>45490</v>
      </c>
      <c r="B248" t="s">
        <v>12</v>
      </c>
      <c r="C248" t="s">
        <v>23</v>
      </c>
      <c r="D248" t="s">
        <v>30</v>
      </c>
      <c r="E248">
        <v>19</v>
      </c>
      <c r="F248">
        <v>585</v>
      </c>
      <c r="G248" t="s">
        <v>39</v>
      </c>
      <c r="H248">
        <v>11115</v>
      </c>
      <c r="I248">
        <v>6929.1533518179558</v>
      </c>
      <c r="J248">
        <v>4185.8466481820442</v>
      </c>
    </row>
    <row r="249" spans="1:10" x14ac:dyDescent="0.35">
      <c r="A249" s="1">
        <v>45599</v>
      </c>
      <c r="B249" t="s">
        <v>11</v>
      </c>
      <c r="C249" t="s">
        <v>24</v>
      </c>
      <c r="D249" t="s">
        <v>30</v>
      </c>
      <c r="E249">
        <v>10</v>
      </c>
      <c r="F249">
        <v>1767</v>
      </c>
      <c r="G249" t="s">
        <v>40</v>
      </c>
      <c r="H249">
        <v>17670</v>
      </c>
      <c r="I249">
        <v>15332.455334820221</v>
      </c>
      <c r="J249">
        <v>2337.5446651797788</v>
      </c>
    </row>
    <row r="250" spans="1:10" x14ac:dyDescent="0.35">
      <c r="A250" s="1">
        <v>45419</v>
      </c>
      <c r="B250" t="s">
        <v>12</v>
      </c>
      <c r="C250" t="s">
        <v>24</v>
      </c>
      <c r="D250" t="s">
        <v>30</v>
      </c>
      <c r="E250">
        <v>17</v>
      </c>
      <c r="F250">
        <v>1613</v>
      </c>
      <c r="G250" t="s">
        <v>40</v>
      </c>
      <c r="H250">
        <v>27421</v>
      </c>
      <c r="I250">
        <v>18479.84232409285</v>
      </c>
      <c r="J250">
        <v>8941.1576759071504</v>
      </c>
    </row>
    <row r="251" spans="1:10" x14ac:dyDescent="0.35">
      <c r="A251" s="1">
        <v>45330</v>
      </c>
      <c r="B251" t="s">
        <v>11</v>
      </c>
      <c r="C251" t="s">
        <v>19</v>
      </c>
      <c r="D251" t="s">
        <v>36</v>
      </c>
      <c r="E251">
        <v>13</v>
      </c>
      <c r="F251">
        <v>1487</v>
      </c>
      <c r="G251" t="s">
        <v>40</v>
      </c>
      <c r="H251">
        <v>19331</v>
      </c>
      <c r="I251">
        <v>11969.511031023239</v>
      </c>
      <c r="J251">
        <v>7361.4889689767642</v>
      </c>
    </row>
    <row r="252" spans="1:10" x14ac:dyDescent="0.35">
      <c r="A252" s="1">
        <v>45629</v>
      </c>
      <c r="B252" t="s">
        <v>11</v>
      </c>
      <c r="C252" t="s">
        <v>18</v>
      </c>
      <c r="D252" t="s">
        <v>30</v>
      </c>
      <c r="E252">
        <v>13</v>
      </c>
      <c r="F252">
        <v>1235</v>
      </c>
      <c r="G252" t="s">
        <v>39</v>
      </c>
      <c r="H252">
        <v>16055</v>
      </c>
      <c r="I252">
        <v>12220.440593165949</v>
      </c>
      <c r="J252">
        <v>3834.5594068340488</v>
      </c>
    </row>
    <row r="253" spans="1:10" x14ac:dyDescent="0.35">
      <c r="A253" s="1">
        <v>45651</v>
      </c>
      <c r="B253" t="s">
        <v>13</v>
      </c>
      <c r="C253" t="s">
        <v>19</v>
      </c>
      <c r="D253" t="s">
        <v>34</v>
      </c>
      <c r="E253">
        <v>7</v>
      </c>
      <c r="F253">
        <v>508</v>
      </c>
      <c r="G253" t="s">
        <v>40</v>
      </c>
      <c r="H253">
        <v>3556</v>
      </c>
      <c r="I253">
        <v>3036.0057423117551</v>
      </c>
      <c r="J253">
        <v>519.9942576882454</v>
      </c>
    </row>
    <row r="254" spans="1:10" x14ac:dyDescent="0.35">
      <c r="A254" s="1">
        <v>45420</v>
      </c>
      <c r="B254" t="s">
        <v>11</v>
      </c>
      <c r="C254" t="s">
        <v>22</v>
      </c>
      <c r="D254" t="s">
        <v>30</v>
      </c>
      <c r="E254">
        <v>10</v>
      </c>
      <c r="F254">
        <v>1130</v>
      </c>
      <c r="G254" t="s">
        <v>40</v>
      </c>
      <c r="H254">
        <v>11300</v>
      </c>
      <c r="I254">
        <v>8158.4928385621479</v>
      </c>
      <c r="J254">
        <v>3141.5071614378521</v>
      </c>
    </row>
    <row r="255" spans="1:10" x14ac:dyDescent="0.35">
      <c r="A255" s="1">
        <v>45558</v>
      </c>
      <c r="B255" t="s">
        <v>13</v>
      </c>
      <c r="C255" t="s">
        <v>18</v>
      </c>
      <c r="D255" t="s">
        <v>33</v>
      </c>
      <c r="E255">
        <v>2</v>
      </c>
      <c r="F255">
        <v>1865</v>
      </c>
      <c r="G255" t="s">
        <v>39</v>
      </c>
      <c r="H255">
        <v>3730</v>
      </c>
      <c r="I255">
        <v>3114.252499107939</v>
      </c>
      <c r="J255">
        <v>615.74750089206054</v>
      </c>
    </row>
    <row r="256" spans="1:10" x14ac:dyDescent="0.35">
      <c r="A256" s="1">
        <v>45442</v>
      </c>
      <c r="B256" t="s">
        <v>13</v>
      </c>
      <c r="C256" t="s">
        <v>23</v>
      </c>
      <c r="D256" t="s">
        <v>37</v>
      </c>
      <c r="E256">
        <v>4</v>
      </c>
      <c r="F256">
        <v>767</v>
      </c>
      <c r="G256" t="s">
        <v>39</v>
      </c>
      <c r="H256">
        <v>3068</v>
      </c>
      <c r="I256">
        <v>2610.6188851041902</v>
      </c>
      <c r="J256">
        <v>457.38111489581019</v>
      </c>
    </row>
    <row r="257" spans="1:10" x14ac:dyDescent="0.35">
      <c r="A257" s="1">
        <v>45589</v>
      </c>
      <c r="B257" t="s">
        <v>13</v>
      </c>
      <c r="C257" t="s">
        <v>21</v>
      </c>
      <c r="D257" t="s">
        <v>30</v>
      </c>
      <c r="E257">
        <v>6</v>
      </c>
      <c r="F257">
        <v>1320</v>
      </c>
      <c r="G257" t="s">
        <v>40</v>
      </c>
      <c r="H257">
        <v>7920</v>
      </c>
      <c r="I257">
        <v>5831.6628557559961</v>
      </c>
      <c r="J257">
        <v>2088.3371442440039</v>
      </c>
    </row>
    <row r="258" spans="1:10" x14ac:dyDescent="0.35">
      <c r="A258" s="1">
        <v>45390</v>
      </c>
      <c r="B258" t="s">
        <v>10</v>
      </c>
      <c r="C258" t="s">
        <v>23</v>
      </c>
      <c r="D258" t="s">
        <v>30</v>
      </c>
      <c r="E258">
        <v>18</v>
      </c>
      <c r="F258">
        <v>934</v>
      </c>
      <c r="G258" t="s">
        <v>39</v>
      </c>
      <c r="H258">
        <v>16812</v>
      </c>
      <c r="I258">
        <v>13067.74097057737</v>
      </c>
      <c r="J258">
        <v>3744.259029422627</v>
      </c>
    </row>
    <row r="259" spans="1:10" x14ac:dyDescent="0.35">
      <c r="A259" s="1">
        <v>45554</v>
      </c>
      <c r="B259" t="s">
        <v>10</v>
      </c>
      <c r="C259" t="s">
        <v>24</v>
      </c>
      <c r="D259" t="s">
        <v>31</v>
      </c>
      <c r="E259">
        <v>6</v>
      </c>
      <c r="F259">
        <v>975</v>
      </c>
      <c r="G259" t="s">
        <v>40</v>
      </c>
      <c r="H259">
        <v>5850</v>
      </c>
      <c r="I259">
        <v>4447.0160839358396</v>
      </c>
      <c r="J259">
        <v>1402.98391606416</v>
      </c>
    </row>
    <row r="260" spans="1:10" x14ac:dyDescent="0.35">
      <c r="A260" s="1">
        <v>45543</v>
      </c>
      <c r="B260" t="s">
        <v>11</v>
      </c>
      <c r="C260" t="s">
        <v>22</v>
      </c>
      <c r="D260" t="s">
        <v>37</v>
      </c>
      <c r="E260">
        <v>17</v>
      </c>
      <c r="F260">
        <v>1858</v>
      </c>
      <c r="G260" t="s">
        <v>40</v>
      </c>
      <c r="H260">
        <v>31586</v>
      </c>
      <c r="I260">
        <v>27851.232145676211</v>
      </c>
      <c r="J260">
        <v>3734.7678543237889</v>
      </c>
    </row>
    <row r="261" spans="1:10" x14ac:dyDescent="0.35">
      <c r="A261" s="1">
        <v>45435</v>
      </c>
      <c r="B261" t="s">
        <v>13</v>
      </c>
      <c r="C261" t="s">
        <v>20</v>
      </c>
      <c r="D261" t="s">
        <v>30</v>
      </c>
      <c r="E261">
        <v>14</v>
      </c>
      <c r="G261" t="s">
        <v>38</v>
      </c>
    </row>
    <row r="262" spans="1:10" x14ac:dyDescent="0.35">
      <c r="A262" s="1">
        <v>45637</v>
      </c>
      <c r="B262" t="s">
        <v>10</v>
      </c>
      <c r="C262" t="s">
        <v>22</v>
      </c>
      <c r="D262" t="s">
        <v>36</v>
      </c>
      <c r="E262">
        <v>11</v>
      </c>
      <c r="F262">
        <v>1101</v>
      </c>
      <c r="G262" t="s">
        <v>40</v>
      </c>
      <c r="H262">
        <v>12111</v>
      </c>
      <c r="I262">
        <v>10628.64803437105</v>
      </c>
      <c r="J262">
        <v>1482.3519656289479</v>
      </c>
    </row>
    <row r="263" spans="1:10" x14ac:dyDescent="0.35">
      <c r="A263" s="1">
        <v>45403</v>
      </c>
      <c r="B263" t="s">
        <v>13</v>
      </c>
      <c r="C263" t="s">
        <v>17</v>
      </c>
      <c r="D263" t="s">
        <v>32</v>
      </c>
      <c r="E263">
        <v>19</v>
      </c>
      <c r="F263">
        <v>349</v>
      </c>
      <c r="G263" t="s">
        <v>38</v>
      </c>
      <c r="H263">
        <v>6631</v>
      </c>
      <c r="I263">
        <v>4416.2658493586796</v>
      </c>
      <c r="J263">
        <v>2214.73415064132</v>
      </c>
    </row>
    <row r="264" spans="1:10" x14ac:dyDescent="0.35">
      <c r="A264" s="1">
        <v>45351</v>
      </c>
      <c r="B264" t="s">
        <v>12</v>
      </c>
      <c r="C264" t="s">
        <v>22</v>
      </c>
      <c r="D264" t="s">
        <v>34</v>
      </c>
      <c r="E264">
        <v>2</v>
      </c>
      <c r="F264">
        <v>1718</v>
      </c>
      <c r="G264" t="s">
        <v>40</v>
      </c>
      <c r="H264">
        <v>3436</v>
      </c>
      <c r="I264">
        <v>2381.392146869116</v>
      </c>
      <c r="J264">
        <v>1054.607853130884</v>
      </c>
    </row>
    <row r="265" spans="1:10" x14ac:dyDescent="0.35">
      <c r="A265" s="1">
        <v>45293</v>
      </c>
      <c r="B265" t="s">
        <v>12</v>
      </c>
      <c r="C265" t="s">
        <v>23</v>
      </c>
      <c r="D265" t="s">
        <v>36</v>
      </c>
      <c r="E265">
        <v>3</v>
      </c>
      <c r="F265">
        <v>1363</v>
      </c>
      <c r="G265" t="s">
        <v>39</v>
      </c>
      <c r="H265">
        <v>4089</v>
      </c>
      <c r="I265">
        <v>2540.3895575499891</v>
      </c>
      <c r="J265">
        <v>1548.6104424500111</v>
      </c>
    </row>
    <row r="266" spans="1:10" x14ac:dyDescent="0.35">
      <c r="A266" s="1">
        <v>45595</v>
      </c>
      <c r="B266" t="s">
        <v>12</v>
      </c>
      <c r="C266" t="s">
        <v>17</v>
      </c>
      <c r="D266" t="s">
        <v>35</v>
      </c>
      <c r="E266">
        <v>11</v>
      </c>
      <c r="F266">
        <v>479</v>
      </c>
      <c r="G266" t="s">
        <v>38</v>
      </c>
      <c r="H266">
        <v>5269</v>
      </c>
      <c r="I266">
        <v>3951.604507149063</v>
      </c>
      <c r="J266">
        <v>1317.395492850937</v>
      </c>
    </row>
    <row r="267" spans="1:10" x14ac:dyDescent="0.35">
      <c r="A267" s="1">
        <v>45545</v>
      </c>
      <c r="B267" t="s">
        <v>50</v>
      </c>
      <c r="C267" t="s">
        <v>17</v>
      </c>
      <c r="D267" t="s">
        <v>36</v>
      </c>
      <c r="E267">
        <v>6</v>
      </c>
      <c r="F267">
        <v>971</v>
      </c>
      <c r="G267" t="s">
        <v>38</v>
      </c>
      <c r="H267">
        <v>5826</v>
      </c>
      <c r="I267">
        <v>5023.0438068306948</v>
      </c>
      <c r="J267">
        <v>802.95619316930515</v>
      </c>
    </row>
    <row r="268" spans="1:10" x14ac:dyDescent="0.35">
      <c r="A268" s="1">
        <v>45431</v>
      </c>
      <c r="B268" t="s">
        <v>13</v>
      </c>
      <c r="C268" t="s">
        <v>18</v>
      </c>
      <c r="D268" t="s">
        <v>31</v>
      </c>
      <c r="E268">
        <v>14</v>
      </c>
      <c r="F268">
        <v>934</v>
      </c>
      <c r="G268" t="s">
        <v>39</v>
      </c>
      <c r="H268">
        <v>13076</v>
      </c>
      <c r="I268">
        <v>9127.7542235043711</v>
      </c>
      <c r="J268">
        <v>3948.2457764956289</v>
      </c>
    </row>
    <row r="269" spans="1:10" x14ac:dyDescent="0.35">
      <c r="A269" s="1">
        <v>45328</v>
      </c>
      <c r="B269" t="s">
        <v>12</v>
      </c>
      <c r="C269" t="s">
        <v>18</v>
      </c>
      <c r="D269" t="s">
        <v>31</v>
      </c>
      <c r="E269">
        <v>19</v>
      </c>
      <c r="F269">
        <v>1594</v>
      </c>
      <c r="G269" t="s">
        <v>39</v>
      </c>
      <c r="H269">
        <v>30286</v>
      </c>
      <c r="I269">
        <v>19337.14556732024</v>
      </c>
      <c r="J269">
        <v>10948.85443267976</v>
      </c>
    </row>
    <row r="270" spans="1:10" x14ac:dyDescent="0.35">
      <c r="A270" s="1">
        <v>45451</v>
      </c>
      <c r="B270" t="s">
        <v>10</v>
      </c>
      <c r="C270" t="s">
        <v>17</v>
      </c>
      <c r="D270" t="s">
        <v>30</v>
      </c>
      <c r="E270">
        <v>16</v>
      </c>
      <c r="F270">
        <v>874</v>
      </c>
      <c r="G270" t="s">
        <v>38</v>
      </c>
      <c r="H270">
        <v>13984</v>
      </c>
      <c r="I270">
        <v>8677.5457286783621</v>
      </c>
      <c r="J270">
        <v>5306.4542713216379</v>
      </c>
    </row>
    <row r="271" spans="1:10" x14ac:dyDescent="0.35">
      <c r="A271" s="1">
        <v>45300</v>
      </c>
      <c r="B271" t="s">
        <v>12</v>
      </c>
      <c r="C271" t="s">
        <v>20</v>
      </c>
      <c r="D271" t="s">
        <v>36</v>
      </c>
      <c r="E271">
        <v>7</v>
      </c>
      <c r="F271">
        <v>1018</v>
      </c>
      <c r="G271" t="s">
        <v>38</v>
      </c>
      <c r="H271">
        <v>7126</v>
      </c>
      <c r="I271">
        <v>5232.2660826010688</v>
      </c>
      <c r="J271">
        <v>1893.733917398931</v>
      </c>
    </row>
    <row r="272" spans="1:10" x14ac:dyDescent="0.35">
      <c r="A272" s="1">
        <v>45524</v>
      </c>
      <c r="B272" t="s">
        <v>12</v>
      </c>
      <c r="C272" t="s">
        <v>18</v>
      </c>
      <c r="D272" t="s">
        <v>31</v>
      </c>
      <c r="E272">
        <v>8</v>
      </c>
      <c r="G272" t="s">
        <v>39</v>
      </c>
    </row>
    <row r="273" spans="1:10" x14ac:dyDescent="0.35">
      <c r="A273" s="1">
        <v>45390</v>
      </c>
      <c r="B273" t="s">
        <v>12</v>
      </c>
      <c r="C273" t="s">
        <v>22</v>
      </c>
      <c r="D273" t="s">
        <v>32</v>
      </c>
      <c r="E273">
        <v>19</v>
      </c>
      <c r="F273">
        <v>554</v>
      </c>
      <c r="G273" t="s">
        <v>40</v>
      </c>
      <c r="H273">
        <v>10526</v>
      </c>
      <c r="I273">
        <v>7408.5273024133803</v>
      </c>
      <c r="J273">
        <v>3117.4726975866201</v>
      </c>
    </row>
    <row r="274" spans="1:10" x14ac:dyDescent="0.35">
      <c r="A274" s="1">
        <v>45438</v>
      </c>
      <c r="B274" t="s">
        <v>11</v>
      </c>
      <c r="C274" t="s">
        <v>23</v>
      </c>
      <c r="D274" t="s">
        <v>37</v>
      </c>
      <c r="E274">
        <v>16</v>
      </c>
      <c r="F274">
        <v>465</v>
      </c>
      <c r="G274" t="s">
        <v>39</v>
      </c>
      <c r="H274">
        <v>7440</v>
      </c>
      <c r="I274">
        <v>6294.1949316399996</v>
      </c>
      <c r="J274">
        <v>1145.80506836</v>
      </c>
    </row>
    <row r="275" spans="1:10" x14ac:dyDescent="0.35">
      <c r="A275" s="1">
        <v>45595</v>
      </c>
      <c r="B275" t="s">
        <v>10</v>
      </c>
      <c r="C275" t="s">
        <v>22</v>
      </c>
      <c r="D275" t="s">
        <v>36</v>
      </c>
      <c r="E275">
        <v>7</v>
      </c>
      <c r="F275">
        <v>1413</v>
      </c>
      <c r="G275" t="s">
        <v>40</v>
      </c>
      <c r="H275">
        <v>9891</v>
      </c>
      <c r="I275">
        <v>7074.1837988564021</v>
      </c>
      <c r="J275">
        <v>2816.8162011435979</v>
      </c>
    </row>
    <row r="276" spans="1:10" x14ac:dyDescent="0.35">
      <c r="A276" s="1">
        <v>45499</v>
      </c>
      <c r="B276" t="s">
        <v>13</v>
      </c>
      <c r="C276" t="s">
        <v>20</v>
      </c>
      <c r="D276" t="s">
        <v>34</v>
      </c>
      <c r="E276">
        <v>9</v>
      </c>
      <c r="F276">
        <v>1997</v>
      </c>
      <c r="G276" t="s">
        <v>38</v>
      </c>
      <c r="H276">
        <v>17973</v>
      </c>
      <c r="I276">
        <v>14072.16300414645</v>
      </c>
      <c r="J276">
        <v>3900.836995853555</v>
      </c>
    </row>
    <row r="277" spans="1:10" x14ac:dyDescent="0.35">
      <c r="A277" s="1">
        <v>45422</v>
      </c>
      <c r="B277" t="s">
        <v>10</v>
      </c>
      <c r="C277" t="s">
        <v>24</v>
      </c>
      <c r="D277" t="s">
        <v>32</v>
      </c>
      <c r="E277">
        <v>13</v>
      </c>
      <c r="F277">
        <v>502</v>
      </c>
      <c r="G277" t="s">
        <v>40</v>
      </c>
      <c r="H277">
        <v>6526</v>
      </c>
      <c r="I277">
        <v>4898.7289572899072</v>
      </c>
      <c r="J277">
        <v>1627.2710427100931</v>
      </c>
    </row>
    <row r="278" spans="1:10" x14ac:dyDescent="0.35">
      <c r="A278" s="1">
        <v>45443</v>
      </c>
      <c r="B278" t="s">
        <v>13</v>
      </c>
      <c r="C278" t="s">
        <v>25</v>
      </c>
      <c r="D278" t="s">
        <v>30</v>
      </c>
      <c r="E278">
        <v>1</v>
      </c>
      <c r="F278">
        <v>157</v>
      </c>
      <c r="G278" t="s">
        <v>40</v>
      </c>
      <c r="H278">
        <v>157</v>
      </c>
      <c r="I278">
        <v>128.04291809888869</v>
      </c>
      <c r="J278">
        <v>28.95708190111128</v>
      </c>
    </row>
    <row r="279" spans="1:10" x14ac:dyDescent="0.35">
      <c r="A279" s="1">
        <v>45345</v>
      </c>
      <c r="B279" t="s">
        <v>11</v>
      </c>
      <c r="C279" t="s">
        <v>23</v>
      </c>
      <c r="D279" t="s">
        <v>37</v>
      </c>
      <c r="E279">
        <v>8</v>
      </c>
      <c r="F279">
        <v>620</v>
      </c>
      <c r="G279" t="s">
        <v>39</v>
      </c>
      <c r="H279">
        <v>4960</v>
      </c>
      <c r="I279">
        <v>3208.3734589735018</v>
      </c>
      <c r="J279">
        <v>1751.626541026498</v>
      </c>
    </row>
    <row r="280" spans="1:10" x14ac:dyDescent="0.35">
      <c r="A280" s="1">
        <v>45411</v>
      </c>
      <c r="B280" t="s">
        <v>11</v>
      </c>
      <c r="C280" t="s">
        <v>18</v>
      </c>
      <c r="D280" t="s">
        <v>34</v>
      </c>
      <c r="E280">
        <v>4</v>
      </c>
      <c r="G280" t="s">
        <v>39</v>
      </c>
    </row>
    <row r="281" spans="1:10" x14ac:dyDescent="0.35">
      <c r="A281" s="1">
        <v>45452</v>
      </c>
      <c r="B281" t="s">
        <v>11</v>
      </c>
      <c r="C281" t="s">
        <v>23</v>
      </c>
      <c r="D281" t="s">
        <v>30</v>
      </c>
      <c r="E281">
        <v>3</v>
      </c>
      <c r="F281">
        <v>1238</v>
      </c>
      <c r="G281" t="s">
        <v>39</v>
      </c>
      <c r="H281">
        <v>3714</v>
      </c>
      <c r="I281">
        <v>2945.535663030249</v>
      </c>
      <c r="J281">
        <v>768.46433696975055</v>
      </c>
    </row>
    <row r="282" spans="1:10" x14ac:dyDescent="0.35">
      <c r="A282" s="1">
        <v>45407</v>
      </c>
      <c r="B282" t="s">
        <v>11</v>
      </c>
      <c r="C282" t="s">
        <v>22</v>
      </c>
      <c r="D282" t="s">
        <v>34</v>
      </c>
      <c r="E282">
        <v>3</v>
      </c>
      <c r="F282">
        <v>309</v>
      </c>
      <c r="G282" t="s">
        <v>40</v>
      </c>
      <c r="H282">
        <v>927</v>
      </c>
      <c r="I282">
        <v>631.55223275242781</v>
      </c>
      <c r="J282">
        <v>295.44776724757219</v>
      </c>
    </row>
    <row r="283" spans="1:10" x14ac:dyDescent="0.35">
      <c r="A283" s="1">
        <v>45366</v>
      </c>
      <c r="B283" t="s">
        <v>13</v>
      </c>
      <c r="C283" t="s">
        <v>19</v>
      </c>
      <c r="D283" t="s">
        <v>30</v>
      </c>
      <c r="E283">
        <v>13</v>
      </c>
      <c r="F283">
        <v>1164</v>
      </c>
      <c r="G283" t="s">
        <v>40</v>
      </c>
      <c r="H283">
        <v>15132</v>
      </c>
      <c r="I283">
        <v>9638.7225334635332</v>
      </c>
      <c r="J283">
        <v>5493.2774665364668</v>
      </c>
    </row>
    <row r="284" spans="1:10" x14ac:dyDescent="0.35">
      <c r="A284" s="1">
        <v>45404</v>
      </c>
      <c r="B284" t="s">
        <v>12</v>
      </c>
      <c r="C284" t="s">
        <v>21</v>
      </c>
      <c r="D284" t="s">
        <v>34</v>
      </c>
      <c r="E284">
        <v>8</v>
      </c>
      <c r="F284">
        <v>915</v>
      </c>
      <c r="G284" t="s">
        <v>40</v>
      </c>
      <c r="H284">
        <v>7320</v>
      </c>
      <c r="I284">
        <v>4720.7973388650335</v>
      </c>
      <c r="J284">
        <v>2599.202661134967</v>
      </c>
    </row>
    <row r="285" spans="1:10" x14ac:dyDescent="0.35">
      <c r="A285" s="1">
        <v>45395</v>
      </c>
      <c r="B285" t="s">
        <v>13</v>
      </c>
      <c r="C285" t="s">
        <v>21</v>
      </c>
      <c r="D285" t="s">
        <v>37</v>
      </c>
      <c r="E285">
        <v>7</v>
      </c>
      <c r="F285">
        <v>272</v>
      </c>
      <c r="G285" t="s">
        <v>40</v>
      </c>
      <c r="H285">
        <v>1904</v>
      </c>
      <c r="I285">
        <v>1589.4570638430571</v>
      </c>
      <c r="J285">
        <v>314.54293615694291</v>
      </c>
    </row>
    <row r="286" spans="1:10" x14ac:dyDescent="0.35">
      <c r="A286" s="1">
        <v>45631</v>
      </c>
      <c r="B286" t="s">
        <v>10</v>
      </c>
      <c r="C286" t="s">
        <v>18</v>
      </c>
      <c r="D286" t="s">
        <v>32</v>
      </c>
      <c r="E286">
        <v>1</v>
      </c>
      <c r="F286">
        <v>333</v>
      </c>
      <c r="G286" t="s">
        <v>39</v>
      </c>
      <c r="H286">
        <v>333</v>
      </c>
      <c r="I286">
        <v>258.55219432596448</v>
      </c>
      <c r="J286">
        <v>74.447805674035521</v>
      </c>
    </row>
    <row r="287" spans="1:10" x14ac:dyDescent="0.35">
      <c r="A287" s="1">
        <v>45545</v>
      </c>
      <c r="B287" t="s">
        <v>11</v>
      </c>
      <c r="C287" t="s">
        <v>20</v>
      </c>
      <c r="D287" t="s">
        <v>34</v>
      </c>
      <c r="E287">
        <v>16</v>
      </c>
      <c r="G287" t="s">
        <v>38</v>
      </c>
    </row>
    <row r="288" spans="1:10" x14ac:dyDescent="0.35">
      <c r="A288" s="1">
        <v>45518</v>
      </c>
      <c r="B288" t="s">
        <v>11</v>
      </c>
      <c r="C288" t="s">
        <v>21</v>
      </c>
      <c r="D288" t="s">
        <v>34</v>
      </c>
      <c r="E288">
        <v>6</v>
      </c>
      <c r="F288">
        <v>1713</v>
      </c>
      <c r="G288" t="s">
        <v>40</v>
      </c>
      <c r="H288">
        <v>10278</v>
      </c>
      <c r="I288">
        <v>7193.2664691326254</v>
      </c>
      <c r="J288">
        <v>3084.7335308673751</v>
      </c>
    </row>
    <row r="289" spans="1:10" x14ac:dyDescent="0.35">
      <c r="A289" s="1">
        <v>45403</v>
      </c>
      <c r="B289" t="s">
        <v>10</v>
      </c>
      <c r="C289" t="s">
        <v>23</v>
      </c>
      <c r="D289" t="s">
        <v>33</v>
      </c>
      <c r="E289">
        <v>7</v>
      </c>
      <c r="F289">
        <v>1743</v>
      </c>
      <c r="G289" t="s">
        <v>39</v>
      </c>
      <c r="H289">
        <v>12201</v>
      </c>
      <c r="I289">
        <v>10452.931023507261</v>
      </c>
      <c r="J289">
        <v>1748.068976492739</v>
      </c>
    </row>
    <row r="290" spans="1:10" x14ac:dyDescent="0.35">
      <c r="A290" s="1">
        <v>45390</v>
      </c>
      <c r="B290" t="s">
        <v>13</v>
      </c>
      <c r="C290" t="s">
        <v>21</v>
      </c>
      <c r="D290" t="s">
        <v>36</v>
      </c>
      <c r="E290">
        <v>12</v>
      </c>
      <c r="F290">
        <v>892</v>
      </c>
      <c r="G290" t="s">
        <v>40</v>
      </c>
      <c r="H290">
        <v>10704</v>
      </c>
      <c r="I290">
        <v>9231.4374163670273</v>
      </c>
      <c r="J290">
        <v>1472.562583632973</v>
      </c>
    </row>
    <row r="291" spans="1:10" x14ac:dyDescent="0.35">
      <c r="A291" s="1">
        <v>45444</v>
      </c>
      <c r="B291" t="s">
        <v>12</v>
      </c>
      <c r="C291" t="s">
        <v>24</v>
      </c>
      <c r="D291" t="s">
        <v>37</v>
      </c>
      <c r="E291">
        <v>9</v>
      </c>
      <c r="F291">
        <v>1526</v>
      </c>
      <c r="G291" t="s">
        <v>40</v>
      </c>
      <c r="H291">
        <v>13734</v>
      </c>
      <c r="I291">
        <v>10635.31585069517</v>
      </c>
      <c r="J291">
        <v>3098.6841493048291</v>
      </c>
    </row>
    <row r="292" spans="1:10" x14ac:dyDescent="0.35">
      <c r="A292" s="1">
        <v>45640</v>
      </c>
      <c r="B292" t="s">
        <v>12</v>
      </c>
      <c r="C292" t="s">
        <v>24</v>
      </c>
      <c r="D292" t="s">
        <v>30</v>
      </c>
      <c r="E292">
        <v>11</v>
      </c>
      <c r="F292">
        <v>1162</v>
      </c>
      <c r="G292" t="s">
        <v>40</v>
      </c>
      <c r="H292">
        <v>12782</v>
      </c>
      <c r="I292">
        <v>9680.6166741991492</v>
      </c>
      <c r="J292">
        <v>3101.3833258008508</v>
      </c>
    </row>
    <row r="293" spans="1:10" x14ac:dyDescent="0.35">
      <c r="A293" s="1">
        <v>45657</v>
      </c>
      <c r="B293" t="s">
        <v>10</v>
      </c>
      <c r="C293" t="s">
        <v>18</v>
      </c>
      <c r="D293" t="s">
        <v>37</v>
      </c>
      <c r="E293">
        <v>10</v>
      </c>
      <c r="F293">
        <v>218</v>
      </c>
      <c r="G293" t="s">
        <v>39</v>
      </c>
      <c r="H293">
        <v>2180</v>
      </c>
      <c r="I293">
        <v>1841.9570195180779</v>
      </c>
      <c r="J293">
        <v>338.04298048192231</v>
      </c>
    </row>
    <row r="294" spans="1:10" x14ac:dyDescent="0.35">
      <c r="A294" s="1">
        <v>45629</v>
      </c>
      <c r="B294" t="s">
        <v>12</v>
      </c>
      <c r="C294" t="s">
        <v>24</v>
      </c>
      <c r="D294" t="s">
        <v>31</v>
      </c>
      <c r="E294">
        <v>1</v>
      </c>
      <c r="F294">
        <v>434</v>
      </c>
      <c r="G294" t="s">
        <v>40</v>
      </c>
      <c r="H294">
        <v>434</v>
      </c>
      <c r="I294">
        <v>357.96344040922759</v>
      </c>
      <c r="J294">
        <v>76.036559590772356</v>
      </c>
    </row>
    <row r="295" spans="1:10" x14ac:dyDescent="0.35">
      <c r="A295" s="1">
        <v>45485</v>
      </c>
      <c r="B295" t="s">
        <v>13</v>
      </c>
      <c r="C295" t="s">
        <v>21</v>
      </c>
      <c r="D295" t="s">
        <v>30</v>
      </c>
      <c r="E295">
        <v>18</v>
      </c>
      <c r="F295">
        <v>1459</v>
      </c>
      <c r="G295" t="s">
        <v>40</v>
      </c>
      <c r="H295">
        <v>26262</v>
      </c>
      <c r="I295">
        <v>18911.201989366309</v>
      </c>
      <c r="J295">
        <v>7350.7980106336872</v>
      </c>
    </row>
    <row r="296" spans="1:10" x14ac:dyDescent="0.35">
      <c r="A296" s="1">
        <v>45601</v>
      </c>
      <c r="B296" t="s">
        <v>13</v>
      </c>
      <c r="C296" t="s">
        <v>20</v>
      </c>
      <c r="D296" t="s">
        <v>37</v>
      </c>
      <c r="E296">
        <v>4</v>
      </c>
      <c r="F296">
        <v>1662</v>
      </c>
      <c r="G296" t="s">
        <v>38</v>
      </c>
      <c r="H296">
        <v>6648</v>
      </c>
      <c r="I296">
        <v>4153.8140328671088</v>
      </c>
      <c r="J296">
        <v>2494.1859671328912</v>
      </c>
    </row>
    <row r="297" spans="1:10" x14ac:dyDescent="0.35">
      <c r="A297" s="1">
        <v>45454</v>
      </c>
      <c r="B297" t="s">
        <v>10</v>
      </c>
      <c r="C297" t="s">
        <v>17</v>
      </c>
      <c r="D297" t="s">
        <v>32</v>
      </c>
      <c r="E297">
        <v>5</v>
      </c>
      <c r="G297" t="s">
        <v>38</v>
      </c>
    </row>
    <row r="298" spans="1:10" x14ac:dyDescent="0.35">
      <c r="A298" s="1">
        <v>45499</v>
      </c>
      <c r="B298" t="s">
        <v>13</v>
      </c>
      <c r="C298" t="s">
        <v>17</v>
      </c>
      <c r="D298" t="s">
        <v>30</v>
      </c>
      <c r="E298">
        <v>9</v>
      </c>
      <c r="F298">
        <v>1197</v>
      </c>
      <c r="G298" t="s">
        <v>38</v>
      </c>
      <c r="H298">
        <v>10773</v>
      </c>
      <c r="I298">
        <v>7009.0248554319742</v>
      </c>
      <c r="J298">
        <v>3763.9751445680258</v>
      </c>
    </row>
    <row r="299" spans="1:10" x14ac:dyDescent="0.35">
      <c r="A299" s="1">
        <v>45460</v>
      </c>
      <c r="B299" t="s">
        <v>11</v>
      </c>
      <c r="C299" t="s">
        <v>18</v>
      </c>
      <c r="D299" t="s">
        <v>30</v>
      </c>
      <c r="E299">
        <v>17</v>
      </c>
      <c r="F299">
        <v>1314</v>
      </c>
      <c r="G299" t="s">
        <v>39</v>
      </c>
      <c r="H299">
        <v>22338</v>
      </c>
      <c r="I299">
        <v>13512.548201074869</v>
      </c>
      <c r="J299">
        <v>8825.4517989251253</v>
      </c>
    </row>
    <row r="300" spans="1:10" x14ac:dyDescent="0.35">
      <c r="A300" s="1">
        <v>45452</v>
      </c>
      <c r="B300" t="s">
        <v>10</v>
      </c>
      <c r="C300" t="s">
        <v>19</v>
      </c>
      <c r="D300" t="s">
        <v>37</v>
      </c>
      <c r="E300">
        <v>3</v>
      </c>
      <c r="F300">
        <v>423</v>
      </c>
      <c r="G300" t="s">
        <v>40</v>
      </c>
      <c r="H300">
        <v>1269</v>
      </c>
      <c r="I300">
        <v>1082.445328450159</v>
      </c>
      <c r="J300">
        <v>186.5546715498408</v>
      </c>
    </row>
    <row r="301" spans="1:10" x14ac:dyDescent="0.35">
      <c r="A301" s="1">
        <v>45359</v>
      </c>
      <c r="B301" t="s">
        <v>13</v>
      </c>
      <c r="C301" t="s">
        <v>17</v>
      </c>
      <c r="D301" t="s">
        <v>30</v>
      </c>
      <c r="E301">
        <v>16</v>
      </c>
      <c r="F301">
        <v>1110</v>
      </c>
      <c r="G301" t="s">
        <v>38</v>
      </c>
      <c r="H301">
        <v>17760</v>
      </c>
      <c r="I301">
        <v>13736.936487954041</v>
      </c>
      <c r="J301">
        <v>4023.0635120459629</v>
      </c>
    </row>
    <row r="302" spans="1:10" x14ac:dyDescent="0.35">
      <c r="A302" s="1">
        <v>45580</v>
      </c>
      <c r="B302" t="s">
        <v>10</v>
      </c>
      <c r="C302" t="s">
        <v>17</v>
      </c>
      <c r="D302" t="s">
        <v>33</v>
      </c>
      <c r="E302">
        <v>5</v>
      </c>
      <c r="F302">
        <v>1270</v>
      </c>
      <c r="G302" t="s">
        <v>38</v>
      </c>
      <c r="H302">
        <v>6350</v>
      </c>
      <c r="I302">
        <v>5508.6237976956199</v>
      </c>
      <c r="J302">
        <v>841.37620230438006</v>
      </c>
    </row>
    <row r="303" spans="1:10" x14ac:dyDescent="0.35">
      <c r="A303" s="1">
        <v>45568</v>
      </c>
      <c r="B303" t="s">
        <v>12</v>
      </c>
      <c r="C303" t="s">
        <v>24</v>
      </c>
      <c r="D303" t="s">
        <v>36</v>
      </c>
      <c r="E303">
        <v>16</v>
      </c>
      <c r="F303">
        <v>1890</v>
      </c>
      <c r="G303" t="s">
        <v>40</v>
      </c>
      <c r="H303">
        <v>30240</v>
      </c>
      <c r="I303">
        <v>22540.183090768791</v>
      </c>
      <c r="J303">
        <v>7699.8169092312091</v>
      </c>
    </row>
    <row r="304" spans="1:10" x14ac:dyDescent="0.35">
      <c r="A304" s="1">
        <v>45595</v>
      </c>
      <c r="B304" t="s">
        <v>13</v>
      </c>
      <c r="C304" t="s">
        <v>24</v>
      </c>
      <c r="D304" t="s">
        <v>30</v>
      </c>
      <c r="E304">
        <v>3</v>
      </c>
      <c r="F304">
        <v>383</v>
      </c>
      <c r="G304" t="s">
        <v>40</v>
      </c>
      <c r="H304">
        <v>1149</v>
      </c>
      <c r="I304">
        <v>1008.758035415221</v>
      </c>
      <c r="J304">
        <v>140.24196458477951</v>
      </c>
    </row>
    <row r="305" spans="1:10" x14ac:dyDescent="0.35">
      <c r="A305" s="1">
        <v>45426</v>
      </c>
      <c r="B305" t="s">
        <v>11</v>
      </c>
      <c r="C305" t="s">
        <v>21</v>
      </c>
      <c r="D305" t="s">
        <v>36</v>
      </c>
      <c r="E305">
        <v>15</v>
      </c>
      <c r="F305">
        <v>312</v>
      </c>
      <c r="G305" t="s">
        <v>40</v>
      </c>
      <c r="H305">
        <v>4680</v>
      </c>
      <c r="I305">
        <v>3304.9763341623252</v>
      </c>
      <c r="J305">
        <v>1375.023665837675</v>
      </c>
    </row>
    <row r="306" spans="1:10" x14ac:dyDescent="0.35">
      <c r="A306" s="1">
        <v>45486</v>
      </c>
      <c r="B306" t="s">
        <v>13</v>
      </c>
      <c r="C306" t="s">
        <v>18</v>
      </c>
      <c r="D306" t="s">
        <v>37</v>
      </c>
      <c r="E306">
        <v>3</v>
      </c>
      <c r="F306">
        <v>1758</v>
      </c>
      <c r="G306" t="s">
        <v>39</v>
      </c>
      <c r="H306">
        <v>5274</v>
      </c>
      <c r="I306">
        <v>4310.7387120933181</v>
      </c>
      <c r="J306">
        <v>963.2612879066819</v>
      </c>
    </row>
    <row r="307" spans="1:10" x14ac:dyDescent="0.35">
      <c r="A307" s="1">
        <v>45419</v>
      </c>
      <c r="B307" t="s">
        <v>10</v>
      </c>
      <c r="C307" t="s">
        <v>19</v>
      </c>
      <c r="D307" t="s">
        <v>34</v>
      </c>
      <c r="E307">
        <v>14</v>
      </c>
      <c r="F307">
        <v>1841</v>
      </c>
      <c r="G307" t="s">
        <v>40</v>
      </c>
      <c r="H307">
        <v>25774</v>
      </c>
      <c r="I307">
        <v>17791.687886913958</v>
      </c>
      <c r="J307">
        <v>7982.3121130860382</v>
      </c>
    </row>
    <row r="308" spans="1:10" x14ac:dyDescent="0.35">
      <c r="A308" s="1">
        <v>45324</v>
      </c>
      <c r="B308" t="s">
        <v>10</v>
      </c>
      <c r="C308" t="s">
        <v>18</v>
      </c>
      <c r="D308" t="s">
        <v>35</v>
      </c>
      <c r="E308">
        <v>16</v>
      </c>
      <c r="F308">
        <v>1028</v>
      </c>
      <c r="G308" t="s">
        <v>39</v>
      </c>
      <c r="H308">
        <v>16448</v>
      </c>
      <c r="I308">
        <v>9874.5419852599771</v>
      </c>
      <c r="J308">
        <v>6573.4580147400229</v>
      </c>
    </row>
    <row r="309" spans="1:10" x14ac:dyDescent="0.35">
      <c r="A309" s="1">
        <v>45467</v>
      </c>
      <c r="B309" t="s">
        <v>13</v>
      </c>
      <c r="C309" t="s">
        <v>22</v>
      </c>
      <c r="D309" t="s">
        <v>35</v>
      </c>
      <c r="E309">
        <v>17</v>
      </c>
      <c r="F309">
        <v>851</v>
      </c>
      <c r="G309" t="s">
        <v>40</v>
      </c>
      <c r="H309">
        <v>14467</v>
      </c>
      <c r="I309">
        <v>10328.329254395931</v>
      </c>
      <c r="J309">
        <v>4138.6707456040731</v>
      </c>
    </row>
    <row r="310" spans="1:10" x14ac:dyDescent="0.35">
      <c r="A310" s="1">
        <v>45313</v>
      </c>
      <c r="B310" t="s">
        <v>11</v>
      </c>
      <c r="C310" t="s">
        <v>23</v>
      </c>
      <c r="D310" t="s">
        <v>34</v>
      </c>
      <c r="E310">
        <v>18</v>
      </c>
      <c r="F310">
        <v>1517</v>
      </c>
      <c r="G310" t="s">
        <v>39</v>
      </c>
      <c r="H310">
        <v>27306</v>
      </c>
      <c r="I310">
        <v>22427.227530288259</v>
      </c>
      <c r="J310">
        <v>4878.7724697117374</v>
      </c>
    </row>
    <row r="311" spans="1:10" x14ac:dyDescent="0.35">
      <c r="A311" s="1">
        <v>45529</v>
      </c>
      <c r="B311" t="s">
        <v>11</v>
      </c>
      <c r="C311" t="s">
        <v>19</v>
      </c>
      <c r="D311" t="s">
        <v>34</v>
      </c>
      <c r="E311">
        <v>18</v>
      </c>
      <c r="F311">
        <v>438</v>
      </c>
      <c r="G311" t="s">
        <v>40</v>
      </c>
      <c r="H311">
        <v>7884</v>
      </c>
      <c r="I311">
        <v>5085.2371892268948</v>
      </c>
      <c r="J311">
        <v>2798.7628107731048</v>
      </c>
    </row>
    <row r="312" spans="1:10" x14ac:dyDescent="0.35">
      <c r="A312" s="1">
        <v>45449</v>
      </c>
      <c r="B312" t="s">
        <v>11</v>
      </c>
      <c r="C312" t="s">
        <v>19</v>
      </c>
      <c r="D312" t="s">
        <v>34</v>
      </c>
      <c r="E312">
        <v>14</v>
      </c>
      <c r="F312">
        <v>1921</v>
      </c>
      <c r="G312" t="s">
        <v>40</v>
      </c>
      <c r="H312">
        <v>26894</v>
      </c>
      <c r="I312">
        <v>20209.243764323892</v>
      </c>
      <c r="J312">
        <v>6684.7562356761118</v>
      </c>
    </row>
    <row r="313" spans="1:10" x14ac:dyDescent="0.35">
      <c r="A313" s="1">
        <v>45329</v>
      </c>
      <c r="B313" t="s">
        <v>10</v>
      </c>
      <c r="C313" t="s">
        <v>20</v>
      </c>
      <c r="D313" t="s">
        <v>32</v>
      </c>
      <c r="E313">
        <v>18</v>
      </c>
      <c r="F313">
        <v>1145</v>
      </c>
      <c r="G313" t="s">
        <v>38</v>
      </c>
      <c r="H313">
        <v>20610</v>
      </c>
      <c r="I313">
        <v>13678.78374083197</v>
      </c>
      <c r="J313">
        <v>6931.2162591680299</v>
      </c>
    </row>
    <row r="314" spans="1:10" x14ac:dyDescent="0.35">
      <c r="A314" s="1">
        <v>45521</v>
      </c>
      <c r="B314" t="s">
        <v>13</v>
      </c>
      <c r="C314" t="s">
        <v>18</v>
      </c>
      <c r="D314" t="s">
        <v>35</v>
      </c>
      <c r="E314">
        <v>15</v>
      </c>
      <c r="G314" t="s">
        <v>39</v>
      </c>
    </row>
    <row r="315" spans="1:10" x14ac:dyDescent="0.35">
      <c r="A315" s="1">
        <v>45656</v>
      </c>
      <c r="B315" t="s">
        <v>12</v>
      </c>
      <c r="C315" t="s">
        <v>26</v>
      </c>
      <c r="D315" t="s">
        <v>34</v>
      </c>
      <c r="E315">
        <v>15</v>
      </c>
      <c r="F315">
        <v>1992</v>
      </c>
      <c r="G315" t="s">
        <v>40</v>
      </c>
      <c r="H315">
        <v>29880</v>
      </c>
      <c r="I315">
        <v>23462.83956614885</v>
      </c>
      <c r="J315">
        <v>6417.1604338511461</v>
      </c>
    </row>
    <row r="316" spans="1:10" x14ac:dyDescent="0.35">
      <c r="A316" s="1">
        <v>45342</v>
      </c>
      <c r="B316" t="s">
        <v>10</v>
      </c>
      <c r="C316" t="s">
        <v>20</v>
      </c>
      <c r="D316" t="s">
        <v>32</v>
      </c>
      <c r="E316">
        <v>6</v>
      </c>
      <c r="F316">
        <v>204</v>
      </c>
      <c r="G316" t="s">
        <v>38</v>
      </c>
      <c r="H316">
        <v>1224</v>
      </c>
      <c r="I316">
        <v>1083.9625109098099</v>
      </c>
      <c r="J316">
        <v>140.03748909019029</v>
      </c>
    </row>
    <row r="317" spans="1:10" x14ac:dyDescent="0.35">
      <c r="A317" s="1">
        <v>45555</v>
      </c>
      <c r="B317" t="s">
        <v>11</v>
      </c>
      <c r="C317" t="s">
        <v>19</v>
      </c>
      <c r="D317" t="s">
        <v>31</v>
      </c>
      <c r="E317">
        <v>15</v>
      </c>
      <c r="F317">
        <v>1589</v>
      </c>
      <c r="G317" t="s">
        <v>40</v>
      </c>
      <c r="H317">
        <v>23835</v>
      </c>
      <c r="I317">
        <v>16522.690515942471</v>
      </c>
      <c r="J317">
        <v>7312.3094840575322</v>
      </c>
    </row>
    <row r="318" spans="1:10" x14ac:dyDescent="0.35">
      <c r="A318" s="1">
        <v>45574</v>
      </c>
      <c r="B318" t="s">
        <v>13</v>
      </c>
      <c r="C318" t="s">
        <v>19</v>
      </c>
      <c r="D318" t="s">
        <v>30</v>
      </c>
      <c r="E318">
        <v>18</v>
      </c>
      <c r="F318">
        <v>1582</v>
      </c>
      <c r="G318" t="s">
        <v>40</v>
      </c>
      <c r="H318">
        <v>28476</v>
      </c>
      <c r="I318">
        <v>22045.940943314981</v>
      </c>
      <c r="J318">
        <v>6430.0590566850151</v>
      </c>
    </row>
    <row r="319" spans="1:10" x14ac:dyDescent="0.35">
      <c r="A319" s="1">
        <v>45318</v>
      </c>
      <c r="B319" t="s">
        <v>11</v>
      </c>
      <c r="C319" t="s">
        <v>19</v>
      </c>
      <c r="D319" t="s">
        <v>32</v>
      </c>
      <c r="E319">
        <v>4</v>
      </c>
      <c r="F319">
        <v>1555</v>
      </c>
      <c r="G319" t="s">
        <v>40</v>
      </c>
      <c r="H319">
        <v>6220</v>
      </c>
      <c r="I319">
        <v>5511.4238842229825</v>
      </c>
      <c r="J319">
        <v>708.57611577701755</v>
      </c>
    </row>
    <row r="320" spans="1:10" x14ac:dyDescent="0.35">
      <c r="A320" s="1">
        <v>45517</v>
      </c>
      <c r="B320" t="s">
        <v>12</v>
      </c>
      <c r="C320" t="s">
        <v>17</v>
      </c>
      <c r="D320" t="s">
        <v>35</v>
      </c>
      <c r="E320">
        <v>8</v>
      </c>
      <c r="F320">
        <v>869</v>
      </c>
      <c r="G320" t="s">
        <v>38</v>
      </c>
      <c r="H320">
        <v>6952</v>
      </c>
      <c r="I320">
        <v>5527.8480747489202</v>
      </c>
      <c r="J320">
        <v>1424.15192525108</v>
      </c>
    </row>
    <row r="321" spans="1:10" x14ac:dyDescent="0.35">
      <c r="A321" s="1">
        <v>45568</v>
      </c>
      <c r="B321" t="s">
        <v>11</v>
      </c>
      <c r="C321" t="s">
        <v>18</v>
      </c>
      <c r="D321" t="s">
        <v>37</v>
      </c>
      <c r="E321">
        <v>15</v>
      </c>
      <c r="F321">
        <v>815</v>
      </c>
      <c r="G321" t="s">
        <v>39</v>
      </c>
      <c r="H321">
        <v>12225</v>
      </c>
      <c r="I321">
        <v>9803.6430362217579</v>
      </c>
      <c r="J321">
        <v>2421.3569637782421</v>
      </c>
    </row>
    <row r="322" spans="1:10" x14ac:dyDescent="0.35">
      <c r="A322" s="1">
        <v>45577</v>
      </c>
      <c r="B322" t="s">
        <v>11</v>
      </c>
      <c r="C322" t="s">
        <v>23</v>
      </c>
      <c r="D322" t="s">
        <v>31</v>
      </c>
      <c r="E322">
        <v>3</v>
      </c>
      <c r="F322">
        <v>1945</v>
      </c>
      <c r="G322" t="s">
        <v>39</v>
      </c>
      <c r="H322">
        <v>5835</v>
      </c>
      <c r="I322">
        <v>3814.2143594872432</v>
      </c>
      <c r="J322">
        <v>2020.785640512757</v>
      </c>
    </row>
    <row r="323" spans="1:10" x14ac:dyDescent="0.35">
      <c r="A323" s="1">
        <v>45388</v>
      </c>
      <c r="B323" t="s">
        <v>12</v>
      </c>
      <c r="C323" t="s">
        <v>23</v>
      </c>
      <c r="D323" t="s">
        <v>35</v>
      </c>
      <c r="E323">
        <v>15</v>
      </c>
      <c r="F323">
        <v>1897</v>
      </c>
      <c r="G323" t="s">
        <v>39</v>
      </c>
      <c r="H323">
        <v>28455</v>
      </c>
      <c r="I323">
        <v>21278.162523527149</v>
      </c>
      <c r="J323">
        <v>7176.8374764728469</v>
      </c>
    </row>
    <row r="324" spans="1:10" x14ac:dyDescent="0.35">
      <c r="A324" s="1">
        <v>45575</v>
      </c>
      <c r="B324" t="s">
        <v>13</v>
      </c>
      <c r="C324" t="s">
        <v>20</v>
      </c>
      <c r="D324" t="s">
        <v>30</v>
      </c>
      <c r="E324">
        <v>13</v>
      </c>
      <c r="F324">
        <v>1742</v>
      </c>
      <c r="G324" t="s">
        <v>38</v>
      </c>
      <c r="H324">
        <v>22646</v>
      </c>
      <c r="I324">
        <v>16081.486767161339</v>
      </c>
      <c r="J324">
        <v>6564.5132328386644</v>
      </c>
    </row>
    <row r="325" spans="1:10" x14ac:dyDescent="0.35">
      <c r="A325" s="1">
        <v>45608</v>
      </c>
      <c r="B325" t="s">
        <v>10</v>
      </c>
      <c r="C325" t="s">
        <v>19</v>
      </c>
      <c r="D325" t="s">
        <v>32</v>
      </c>
      <c r="E325">
        <v>9</v>
      </c>
      <c r="F325">
        <v>862</v>
      </c>
      <c r="G325" t="s">
        <v>40</v>
      </c>
      <c r="H325">
        <v>7758</v>
      </c>
      <c r="I325">
        <v>5750.9049782548836</v>
      </c>
      <c r="J325">
        <v>2007.0950217451159</v>
      </c>
    </row>
    <row r="326" spans="1:10" x14ac:dyDescent="0.35">
      <c r="A326" s="1">
        <v>45595</v>
      </c>
      <c r="B326" t="s">
        <v>13</v>
      </c>
      <c r="D326" t="s">
        <v>33</v>
      </c>
      <c r="E326">
        <v>2</v>
      </c>
      <c r="F326">
        <v>1344</v>
      </c>
      <c r="G326" t="s">
        <v>39</v>
      </c>
      <c r="H326">
        <v>2688</v>
      </c>
      <c r="I326">
        <v>2258.5865512427299</v>
      </c>
      <c r="J326">
        <v>429.41344875727009</v>
      </c>
    </row>
    <row r="327" spans="1:10" x14ac:dyDescent="0.35">
      <c r="A327" s="1">
        <v>45438</v>
      </c>
      <c r="B327" t="s">
        <v>12</v>
      </c>
      <c r="C327" t="s">
        <v>24</v>
      </c>
      <c r="E327">
        <v>8</v>
      </c>
      <c r="F327">
        <v>478</v>
      </c>
      <c r="G327" t="s">
        <v>40</v>
      </c>
      <c r="H327">
        <v>3824</v>
      </c>
      <c r="I327">
        <v>2822.913878742324</v>
      </c>
      <c r="J327">
        <v>1001.086121257676</v>
      </c>
    </row>
    <row r="328" spans="1:10" x14ac:dyDescent="0.35">
      <c r="A328" s="1">
        <v>45295</v>
      </c>
      <c r="B328" t="s">
        <v>11</v>
      </c>
      <c r="C328" t="s">
        <v>18</v>
      </c>
      <c r="D328" t="s">
        <v>30</v>
      </c>
      <c r="E328">
        <v>17</v>
      </c>
      <c r="F328">
        <v>1345</v>
      </c>
      <c r="G328" t="s">
        <v>39</v>
      </c>
      <c r="H328">
        <v>22865</v>
      </c>
      <c r="I328">
        <v>14150.124227509619</v>
      </c>
      <c r="J328">
        <v>8714.8757724903826</v>
      </c>
    </row>
    <row r="329" spans="1:10" x14ac:dyDescent="0.35">
      <c r="A329" s="1">
        <v>45326</v>
      </c>
      <c r="B329" t="s">
        <v>13</v>
      </c>
      <c r="C329" t="s">
        <v>23</v>
      </c>
      <c r="D329" t="s">
        <v>35</v>
      </c>
      <c r="E329">
        <v>13</v>
      </c>
      <c r="F329">
        <v>1381</v>
      </c>
      <c r="G329" t="s">
        <v>39</v>
      </c>
      <c r="H329">
        <v>17953</v>
      </c>
      <c r="I329">
        <v>15648.956832792441</v>
      </c>
      <c r="J329">
        <v>2304.0431672075651</v>
      </c>
    </row>
    <row r="330" spans="1:10" x14ac:dyDescent="0.35">
      <c r="A330" s="1">
        <v>45483</v>
      </c>
      <c r="B330" t="s">
        <v>10</v>
      </c>
      <c r="C330" t="s">
        <v>21</v>
      </c>
      <c r="D330" t="s">
        <v>34</v>
      </c>
      <c r="E330">
        <v>1</v>
      </c>
      <c r="F330">
        <v>812</v>
      </c>
      <c r="G330" t="s">
        <v>40</v>
      </c>
      <c r="H330">
        <v>812</v>
      </c>
      <c r="I330">
        <v>619.91715018330001</v>
      </c>
      <c r="J330">
        <v>192.08284981669999</v>
      </c>
    </row>
    <row r="331" spans="1:10" x14ac:dyDescent="0.35">
      <c r="A331" s="1">
        <v>45340</v>
      </c>
      <c r="B331" t="s">
        <v>12</v>
      </c>
      <c r="C331" t="s">
        <v>18</v>
      </c>
      <c r="D331" t="s">
        <v>32</v>
      </c>
      <c r="E331">
        <v>2</v>
      </c>
      <c r="F331">
        <v>1490</v>
      </c>
      <c r="G331" t="s">
        <v>39</v>
      </c>
      <c r="H331">
        <v>2980</v>
      </c>
      <c r="I331">
        <v>2614.497956526081</v>
      </c>
      <c r="J331">
        <v>365.502043473919</v>
      </c>
    </row>
    <row r="332" spans="1:10" x14ac:dyDescent="0.35">
      <c r="A332" s="1">
        <v>45308</v>
      </c>
      <c r="B332" t="s">
        <v>13</v>
      </c>
      <c r="C332" t="s">
        <v>21</v>
      </c>
      <c r="D332" t="s">
        <v>34</v>
      </c>
      <c r="E332">
        <v>15</v>
      </c>
      <c r="F332">
        <v>1893</v>
      </c>
      <c r="G332" t="s">
        <v>40</v>
      </c>
      <c r="H332">
        <v>28395</v>
      </c>
      <c r="I332">
        <v>21912.601910707319</v>
      </c>
      <c r="J332">
        <v>6482.3980892926811</v>
      </c>
    </row>
    <row r="333" spans="1:10" x14ac:dyDescent="0.35">
      <c r="A333" s="1">
        <v>45463</v>
      </c>
      <c r="B333" t="s">
        <v>10</v>
      </c>
      <c r="C333" t="s">
        <v>23</v>
      </c>
      <c r="D333" t="s">
        <v>34</v>
      </c>
      <c r="E333">
        <v>12</v>
      </c>
      <c r="F333">
        <v>1472</v>
      </c>
      <c r="G333" t="s">
        <v>39</v>
      </c>
      <c r="H333">
        <v>17664</v>
      </c>
      <c r="I333">
        <v>10967.41676561504</v>
      </c>
      <c r="J333">
        <v>6696.5832343849597</v>
      </c>
    </row>
    <row r="334" spans="1:10" x14ac:dyDescent="0.35">
      <c r="A334" s="1">
        <v>45511</v>
      </c>
      <c r="B334" t="s">
        <v>12</v>
      </c>
      <c r="C334" t="s">
        <v>24</v>
      </c>
      <c r="D334" t="s">
        <v>34</v>
      </c>
      <c r="E334">
        <v>14</v>
      </c>
      <c r="F334">
        <v>324</v>
      </c>
      <c r="G334" t="s">
        <v>40</v>
      </c>
      <c r="H334">
        <v>4536</v>
      </c>
      <c r="I334">
        <v>3473.9446707098691</v>
      </c>
      <c r="J334">
        <v>1062.0553292901311</v>
      </c>
    </row>
    <row r="335" spans="1:10" x14ac:dyDescent="0.35">
      <c r="A335" s="1">
        <v>45449</v>
      </c>
      <c r="B335" t="s">
        <v>10</v>
      </c>
      <c r="C335" t="s">
        <v>21</v>
      </c>
      <c r="D335" t="s">
        <v>34</v>
      </c>
      <c r="E335">
        <v>2</v>
      </c>
      <c r="F335">
        <v>1837</v>
      </c>
      <c r="G335" t="s">
        <v>40</v>
      </c>
      <c r="H335">
        <v>3674</v>
      </c>
      <c r="I335">
        <v>2838.979451393433</v>
      </c>
      <c r="J335">
        <v>835.02054860656744</v>
      </c>
    </row>
    <row r="336" spans="1:10" x14ac:dyDescent="0.35">
      <c r="A336" s="1">
        <v>45337</v>
      </c>
      <c r="B336" t="s">
        <v>12</v>
      </c>
      <c r="C336" t="s">
        <v>17</v>
      </c>
      <c r="D336" t="s">
        <v>34</v>
      </c>
      <c r="E336">
        <v>18</v>
      </c>
      <c r="F336">
        <v>837</v>
      </c>
      <c r="G336" t="s">
        <v>38</v>
      </c>
      <c r="H336">
        <v>15066</v>
      </c>
      <c r="I336">
        <v>10008.373386654381</v>
      </c>
      <c r="J336">
        <v>5057.6266133456193</v>
      </c>
    </row>
    <row r="337" spans="1:10" x14ac:dyDescent="0.35">
      <c r="A337" s="1">
        <v>45297</v>
      </c>
      <c r="B337" t="s">
        <v>11</v>
      </c>
      <c r="C337" t="s">
        <v>23</v>
      </c>
      <c r="D337" t="s">
        <v>31</v>
      </c>
      <c r="E337">
        <v>7</v>
      </c>
      <c r="F337">
        <v>335</v>
      </c>
      <c r="G337" t="s">
        <v>39</v>
      </c>
      <c r="H337">
        <v>2345</v>
      </c>
      <c r="I337">
        <v>1738.3689606674291</v>
      </c>
      <c r="J337">
        <v>606.63103933257094</v>
      </c>
    </row>
    <row r="338" spans="1:10" x14ac:dyDescent="0.35">
      <c r="A338" s="1">
        <v>45390</v>
      </c>
      <c r="B338" t="s">
        <v>13</v>
      </c>
      <c r="C338" t="s">
        <v>17</v>
      </c>
      <c r="D338" t="s">
        <v>35</v>
      </c>
      <c r="E338">
        <v>6</v>
      </c>
      <c r="F338">
        <v>282</v>
      </c>
      <c r="G338" t="s">
        <v>38</v>
      </c>
      <c r="H338">
        <v>1692</v>
      </c>
      <c r="I338">
        <v>1248.4125114270651</v>
      </c>
      <c r="J338">
        <v>443.58748857293472</v>
      </c>
    </row>
    <row r="339" spans="1:10" x14ac:dyDescent="0.35">
      <c r="A339" s="1">
        <v>45524</v>
      </c>
      <c r="B339" t="s">
        <v>10</v>
      </c>
      <c r="C339" t="s">
        <v>23</v>
      </c>
      <c r="D339" t="s">
        <v>30</v>
      </c>
      <c r="E339">
        <v>14</v>
      </c>
      <c r="F339">
        <v>811</v>
      </c>
      <c r="G339" t="s">
        <v>39</v>
      </c>
      <c r="H339">
        <v>11354</v>
      </c>
      <c r="I339">
        <v>8934.0407387939795</v>
      </c>
      <c r="J339">
        <v>2419.959261206021</v>
      </c>
    </row>
    <row r="340" spans="1:10" x14ac:dyDescent="0.35">
      <c r="A340" s="1">
        <v>45328</v>
      </c>
      <c r="B340" t="s">
        <v>12</v>
      </c>
      <c r="C340" t="s">
        <v>22</v>
      </c>
      <c r="D340" t="s">
        <v>35</v>
      </c>
      <c r="E340">
        <v>8</v>
      </c>
      <c r="F340">
        <v>1992</v>
      </c>
      <c r="G340" t="s">
        <v>40</v>
      </c>
      <c r="H340">
        <v>15936</v>
      </c>
      <c r="I340">
        <v>10802.763082940281</v>
      </c>
      <c r="J340">
        <v>5133.2369170597212</v>
      </c>
    </row>
    <row r="341" spans="1:10" x14ac:dyDescent="0.35">
      <c r="A341" s="1">
        <v>45571</v>
      </c>
      <c r="B341" t="s">
        <v>10</v>
      </c>
      <c r="C341" t="s">
        <v>22</v>
      </c>
      <c r="D341" t="s">
        <v>30</v>
      </c>
      <c r="E341">
        <v>2</v>
      </c>
      <c r="F341">
        <v>1881</v>
      </c>
      <c r="G341" t="s">
        <v>40</v>
      </c>
      <c r="H341">
        <v>3762</v>
      </c>
      <c r="I341">
        <v>2913.761264496331</v>
      </c>
      <c r="J341">
        <v>848.23873550366852</v>
      </c>
    </row>
    <row r="342" spans="1:10" x14ac:dyDescent="0.35">
      <c r="A342" s="1">
        <v>45640</v>
      </c>
      <c r="B342" t="s">
        <v>50</v>
      </c>
      <c r="C342" t="s">
        <v>22</v>
      </c>
      <c r="D342" t="s">
        <v>36</v>
      </c>
      <c r="E342">
        <v>17</v>
      </c>
      <c r="F342">
        <v>543</v>
      </c>
      <c r="G342" t="s">
        <v>40</v>
      </c>
      <c r="H342">
        <v>9231</v>
      </c>
      <c r="I342">
        <v>6205.8684916744851</v>
      </c>
      <c r="J342">
        <v>3025.1315083255149</v>
      </c>
    </row>
    <row r="343" spans="1:10" x14ac:dyDescent="0.35">
      <c r="A343" s="1">
        <v>45593</v>
      </c>
      <c r="B343" t="s">
        <v>13</v>
      </c>
      <c r="C343" t="s">
        <v>21</v>
      </c>
      <c r="D343" t="s">
        <v>32</v>
      </c>
      <c r="E343">
        <v>5</v>
      </c>
      <c r="F343">
        <v>1988</v>
      </c>
      <c r="G343" t="s">
        <v>40</v>
      </c>
      <c r="H343">
        <v>9940</v>
      </c>
      <c r="I343">
        <v>7295.299801712049</v>
      </c>
      <c r="J343">
        <v>2644.700198287951</v>
      </c>
    </row>
    <row r="344" spans="1:10" x14ac:dyDescent="0.35">
      <c r="A344" s="1">
        <v>45472</v>
      </c>
      <c r="B344" t="s">
        <v>11</v>
      </c>
      <c r="C344" t="s">
        <v>17</v>
      </c>
      <c r="D344" t="s">
        <v>33</v>
      </c>
      <c r="E344">
        <v>14</v>
      </c>
      <c r="F344">
        <v>722</v>
      </c>
      <c r="G344" t="s">
        <v>38</v>
      </c>
      <c r="H344">
        <v>10108</v>
      </c>
      <c r="I344">
        <v>6436.892762670449</v>
      </c>
      <c r="J344">
        <v>3671.107237329551</v>
      </c>
    </row>
    <row r="345" spans="1:10" x14ac:dyDescent="0.35">
      <c r="A345" s="1">
        <v>45386</v>
      </c>
      <c r="B345" t="s">
        <v>10</v>
      </c>
      <c r="C345" t="s">
        <v>17</v>
      </c>
      <c r="D345" t="s">
        <v>31</v>
      </c>
      <c r="E345">
        <v>3</v>
      </c>
      <c r="F345">
        <v>1129</v>
      </c>
      <c r="G345" t="s">
        <v>38</v>
      </c>
      <c r="H345">
        <v>3387</v>
      </c>
      <c r="I345">
        <v>2070.1010866820479</v>
      </c>
      <c r="J345">
        <v>1316.8989133179521</v>
      </c>
    </row>
    <row r="346" spans="1:10" x14ac:dyDescent="0.35">
      <c r="A346" s="1">
        <v>45390</v>
      </c>
      <c r="B346" t="s">
        <v>50</v>
      </c>
      <c r="C346" t="s">
        <v>17</v>
      </c>
      <c r="D346" t="s">
        <v>32</v>
      </c>
      <c r="E346">
        <v>5</v>
      </c>
      <c r="F346">
        <v>1359</v>
      </c>
      <c r="G346" t="s">
        <v>38</v>
      </c>
      <c r="H346">
        <v>6795</v>
      </c>
      <c r="I346">
        <v>4730.5172232641498</v>
      </c>
      <c r="J346">
        <v>2064.4827767358502</v>
      </c>
    </row>
    <row r="347" spans="1:10" x14ac:dyDescent="0.35">
      <c r="A347" s="1">
        <v>45479</v>
      </c>
      <c r="B347" t="s">
        <v>12</v>
      </c>
      <c r="C347" t="s">
        <v>24</v>
      </c>
      <c r="D347" t="s">
        <v>31</v>
      </c>
      <c r="E347">
        <v>16</v>
      </c>
      <c r="F347">
        <v>1250</v>
      </c>
      <c r="G347" t="s">
        <v>40</v>
      </c>
      <c r="H347">
        <v>20000</v>
      </c>
      <c r="I347">
        <v>13647.430503898449</v>
      </c>
      <c r="J347">
        <v>6352.5694961015524</v>
      </c>
    </row>
    <row r="348" spans="1:10" x14ac:dyDescent="0.35">
      <c r="A348" s="1">
        <v>45407</v>
      </c>
      <c r="B348" t="s">
        <v>11</v>
      </c>
      <c r="C348" t="s">
        <v>17</v>
      </c>
      <c r="D348" t="s">
        <v>30</v>
      </c>
      <c r="E348">
        <v>18</v>
      </c>
      <c r="F348">
        <v>1227</v>
      </c>
      <c r="G348" t="s">
        <v>38</v>
      </c>
      <c r="H348">
        <v>22086</v>
      </c>
      <c r="I348">
        <v>15947.875965937301</v>
      </c>
      <c r="J348">
        <v>6138.1240340627028</v>
      </c>
    </row>
    <row r="349" spans="1:10" x14ac:dyDescent="0.35">
      <c r="A349" s="1">
        <v>45482</v>
      </c>
      <c r="B349" t="s">
        <v>12</v>
      </c>
      <c r="C349" t="s">
        <v>24</v>
      </c>
      <c r="D349" t="s">
        <v>35</v>
      </c>
      <c r="E349">
        <v>17</v>
      </c>
      <c r="F349">
        <v>848</v>
      </c>
      <c r="G349" t="s">
        <v>40</v>
      </c>
      <c r="H349">
        <v>14416</v>
      </c>
      <c r="I349">
        <v>12809.98243497747</v>
      </c>
      <c r="J349">
        <v>1606.0175650225301</v>
      </c>
    </row>
    <row r="350" spans="1:10" x14ac:dyDescent="0.35">
      <c r="A350" s="1">
        <v>45544</v>
      </c>
      <c r="B350" t="s">
        <v>11</v>
      </c>
      <c r="C350" t="s">
        <v>22</v>
      </c>
      <c r="D350" t="s">
        <v>34</v>
      </c>
      <c r="E350">
        <v>11</v>
      </c>
      <c r="F350">
        <v>1603</v>
      </c>
      <c r="G350" t="s">
        <v>40</v>
      </c>
      <c r="H350">
        <v>17633</v>
      </c>
      <c r="I350">
        <v>13342.34074640556</v>
      </c>
      <c r="J350">
        <v>4290.6592535944401</v>
      </c>
    </row>
    <row r="351" spans="1:10" x14ac:dyDescent="0.35">
      <c r="A351" s="1">
        <v>45452</v>
      </c>
      <c r="B351" t="s">
        <v>12</v>
      </c>
      <c r="C351" t="s">
        <v>22</v>
      </c>
      <c r="D351" t="s">
        <v>36</v>
      </c>
      <c r="E351">
        <v>17</v>
      </c>
      <c r="F351">
        <v>254</v>
      </c>
      <c r="G351" t="s">
        <v>40</v>
      </c>
      <c r="H351">
        <v>4318</v>
      </c>
      <c r="I351">
        <v>3307.3851051295542</v>
      </c>
      <c r="J351">
        <v>1010.6148948704461</v>
      </c>
    </row>
    <row r="352" spans="1:10" x14ac:dyDescent="0.35">
      <c r="A352" s="1">
        <v>45547</v>
      </c>
      <c r="B352" t="s">
        <v>13</v>
      </c>
      <c r="C352" t="s">
        <v>21</v>
      </c>
      <c r="D352" t="s">
        <v>36</v>
      </c>
      <c r="E352">
        <v>16</v>
      </c>
      <c r="F352">
        <v>356</v>
      </c>
      <c r="G352" t="s">
        <v>40</v>
      </c>
      <c r="H352">
        <v>5696</v>
      </c>
      <c r="I352">
        <v>5026.6078550798657</v>
      </c>
      <c r="J352">
        <v>669.39214492013434</v>
      </c>
    </row>
    <row r="353" spans="1:10" x14ac:dyDescent="0.35">
      <c r="A353" s="1">
        <v>45614</v>
      </c>
      <c r="B353" t="s">
        <v>50</v>
      </c>
      <c r="C353" t="s">
        <v>23</v>
      </c>
      <c r="E353">
        <v>2</v>
      </c>
      <c r="F353">
        <v>334</v>
      </c>
      <c r="G353" t="s">
        <v>39</v>
      </c>
      <c r="H353">
        <v>668</v>
      </c>
      <c r="I353">
        <v>585.39788637340337</v>
      </c>
      <c r="J353">
        <v>82.602113626596633</v>
      </c>
    </row>
    <row r="354" spans="1:10" x14ac:dyDescent="0.35">
      <c r="A354" s="1">
        <v>45419</v>
      </c>
      <c r="B354" t="s">
        <v>13</v>
      </c>
      <c r="C354" t="s">
        <v>22</v>
      </c>
      <c r="D354" t="s">
        <v>33</v>
      </c>
      <c r="E354">
        <v>4</v>
      </c>
      <c r="F354">
        <v>599</v>
      </c>
      <c r="G354" t="s">
        <v>40</v>
      </c>
      <c r="H354">
        <v>2396</v>
      </c>
      <c r="I354">
        <v>2073.0996724636202</v>
      </c>
      <c r="J354">
        <v>322.90032753637979</v>
      </c>
    </row>
    <row r="355" spans="1:10" x14ac:dyDescent="0.35">
      <c r="A355" s="1">
        <v>45309</v>
      </c>
      <c r="B355" t="s">
        <v>10</v>
      </c>
      <c r="C355" t="s">
        <v>23</v>
      </c>
      <c r="D355" t="s">
        <v>36</v>
      </c>
      <c r="E355">
        <v>7</v>
      </c>
      <c r="F355">
        <v>388</v>
      </c>
      <c r="G355" t="s">
        <v>39</v>
      </c>
      <c r="H355">
        <v>2716</v>
      </c>
      <c r="I355">
        <v>1709.44611580581</v>
      </c>
      <c r="J355">
        <v>1006.55388419419</v>
      </c>
    </row>
    <row r="356" spans="1:10" x14ac:dyDescent="0.35">
      <c r="A356" s="1">
        <v>45572</v>
      </c>
      <c r="B356" t="s">
        <v>10</v>
      </c>
      <c r="C356" t="s">
        <v>23</v>
      </c>
      <c r="D356" t="s">
        <v>34</v>
      </c>
      <c r="E356">
        <v>2</v>
      </c>
      <c r="F356">
        <v>609</v>
      </c>
      <c r="G356" t="s">
        <v>39</v>
      </c>
      <c r="H356">
        <v>1218</v>
      </c>
      <c r="I356">
        <v>962.57227380412883</v>
      </c>
      <c r="J356">
        <v>255.4277261958712</v>
      </c>
    </row>
    <row r="357" spans="1:10" x14ac:dyDescent="0.35">
      <c r="A357" s="1">
        <v>45514</v>
      </c>
      <c r="B357" t="s">
        <v>10</v>
      </c>
      <c r="C357" t="s">
        <v>18</v>
      </c>
      <c r="D357" t="s">
        <v>35</v>
      </c>
      <c r="E357">
        <v>6</v>
      </c>
      <c r="F357">
        <v>1675</v>
      </c>
      <c r="G357" t="s">
        <v>39</v>
      </c>
      <c r="H357">
        <v>10050</v>
      </c>
      <c r="I357">
        <v>8466.4184261879382</v>
      </c>
      <c r="J357">
        <v>1583.5815738120621</v>
      </c>
    </row>
    <row r="358" spans="1:10" x14ac:dyDescent="0.35">
      <c r="A358" s="1">
        <v>45345</v>
      </c>
      <c r="B358" t="s">
        <v>13</v>
      </c>
      <c r="C358" t="s">
        <v>21</v>
      </c>
      <c r="D358" t="s">
        <v>33</v>
      </c>
      <c r="E358">
        <v>17</v>
      </c>
      <c r="F358">
        <v>1923</v>
      </c>
      <c r="G358" t="s">
        <v>40</v>
      </c>
      <c r="H358">
        <v>32691</v>
      </c>
      <c r="I358">
        <v>27809.331653089441</v>
      </c>
      <c r="J358">
        <v>4881.6683469105556</v>
      </c>
    </row>
    <row r="359" spans="1:10" x14ac:dyDescent="0.35">
      <c r="A359" s="1">
        <v>45349</v>
      </c>
      <c r="B359" t="s">
        <v>10</v>
      </c>
      <c r="C359" t="s">
        <v>19</v>
      </c>
      <c r="D359" t="s">
        <v>30</v>
      </c>
      <c r="E359">
        <v>7</v>
      </c>
      <c r="F359">
        <v>808</v>
      </c>
      <c r="G359" t="s">
        <v>40</v>
      </c>
      <c r="H359">
        <v>5656</v>
      </c>
      <c r="I359">
        <v>4374.1928393972184</v>
      </c>
      <c r="J359">
        <v>1281.807160602782</v>
      </c>
    </row>
    <row r="360" spans="1:10" x14ac:dyDescent="0.35">
      <c r="A360" s="1">
        <v>45614</v>
      </c>
      <c r="B360" t="s">
        <v>13</v>
      </c>
      <c r="C360" t="s">
        <v>19</v>
      </c>
      <c r="D360" t="s">
        <v>32</v>
      </c>
      <c r="E360">
        <v>5</v>
      </c>
      <c r="F360">
        <v>884</v>
      </c>
      <c r="G360" t="s">
        <v>40</v>
      </c>
      <c r="H360">
        <v>4420</v>
      </c>
      <c r="I360">
        <v>2675.19909596666</v>
      </c>
      <c r="J360">
        <v>1744.80090403334</v>
      </c>
    </row>
    <row r="361" spans="1:10" x14ac:dyDescent="0.35">
      <c r="A361" s="1">
        <v>45651</v>
      </c>
      <c r="B361" t="s">
        <v>11</v>
      </c>
      <c r="C361" t="s">
        <v>20</v>
      </c>
      <c r="D361" t="s">
        <v>30</v>
      </c>
      <c r="E361">
        <v>5</v>
      </c>
      <c r="F361">
        <v>993</v>
      </c>
      <c r="G361" t="s">
        <v>38</v>
      </c>
      <c r="H361">
        <v>4965</v>
      </c>
      <c r="I361">
        <v>4429.3453669953642</v>
      </c>
      <c r="J361">
        <v>535.6546330046358</v>
      </c>
    </row>
    <row r="362" spans="1:10" x14ac:dyDescent="0.35">
      <c r="A362" s="1">
        <v>45465</v>
      </c>
      <c r="B362" t="s">
        <v>12</v>
      </c>
      <c r="C362" t="s">
        <v>18</v>
      </c>
      <c r="D362" t="s">
        <v>34</v>
      </c>
      <c r="E362">
        <v>16</v>
      </c>
      <c r="F362">
        <v>875</v>
      </c>
      <c r="G362" t="s">
        <v>39</v>
      </c>
      <c r="H362">
        <v>14000</v>
      </c>
      <c r="I362">
        <v>10383.226151584109</v>
      </c>
      <c r="J362">
        <v>3616.773848415889</v>
      </c>
    </row>
    <row r="363" spans="1:10" x14ac:dyDescent="0.35">
      <c r="A363" s="1">
        <v>45571</v>
      </c>
      <c r="B363" t="s">
        <v>12</v>
      </c>
      <c r="C363" t="s">
        <v>21</v>
      </c>
      <c r="D363" t="s">
        <v>34</v>
      </c>
      <c r="E363">
        <v>19</v>
      </c>
      <c r="F363">
        <v>1692</v>
      </c>
      <c r="G363" t="s">
        <v>40</v>
      </c>
      <c r="H363">
        <v>32148</v>
      </c>
      <c r="I363">
        <v>23084.796252376691</v>
      </c>
      <c r="J363">
        <v>9063.2037476233127</v>
      </c>
    </row>
    <row r="364" spans="1:10" x14ac:dyDescent="0.35">
      <c r="A364" s="1">
        <v>45405</v>
      </c>
      <c r="B364" t="s">
        <v>10</v>
      </c>
      <c r="C364" t="s">
        <v>20</v>
      </c>
      <c r="D364" t="s">
        <v>36</v>
      </c>
      <c r="E364">
        <v>9</v>
      </c>
      <c r="G364" t="s">
        <v>38</v>
      </c>
    </row>
    <row r="365" spans="1:10" x14ac:dyDescent="0.35">
      <c r="A365" s="1">
        <v>45579</v>
      </c>
      <c r="B365" t="s">
        <v>13</v>
      </c>
      <c r="D365" t="s">
        <v>33</v>
      </c>
      <c r="E365">
        <v>5</v>
      </c>
      <c r="F365">
        <v>1733</v>
      </c>
      <c r="G365" t="s">
        <v>38</v>
      </c>
      <c r="H365">
        <v>8665</v>
      </c>
      <c r="I365">
        <v>6301.580212711463</v>
      </c>
      <c r="J365">
        <v>2363.419787288537</v>
      </c>
    </row>
    <row r="366" spans="1:10" x14ac:dyDescent="0.35">
      <c r="A366" s="1">
        <v>45633</v>
      </c>
      <c r="B366" t="s">
        <v>12</v>
      </c>
      <c r="C366" t="s">
        <v>18</v>
      </c>
      <c r="D366" t="s">
        <v>35</v>
      </c>
      <c r="E366">
        <v>8</v>
      </c>
      <c r="F366">
        <v>236</v>
      </c>
      <c r="G366" t="s">
        <v>39</v>
      </c>
      <c r="H366">
        <v>1888</v>
      </c>
      <c r="I366">
        <v>1269.9711587730469</v>
      </c>
      <c r="J366">
        <v>618.02884122695264</v>
      </c>
    </row>
    <row r="367" spans="1:10" x14ac:dyDescent="0.35">
      <c r="A367" s="1">
        <v>45442</v>
      </c>
      <c r="B367" t="s">
        <v>13</v>
      </c>
      <c r="C367" t="s">
        <v>19</v>
      </c>
      <c r="D367" t="s">
        <v>30</v>
      </c>
      <c r="E367">
        <v>9</v>
      </c>
      <c r="F367">
        <v>475</v>
      </c>
      <c r="G367" t="s">
        <v>40</v>
      </c>
      <c r="H367">
        <v>4275</v>
      </c>
      <c r="I367">
        <v>2984.805375024157</v>
      </c>
      <c r="J367">
        <v>1290.194624975843</v>
      </c>
    </row>
    <row r="368" spans="1:10" x14ac:dyDescent="0.35">
      <c r="A368" s="1">
        <v>45418</v>
      </c>
      <c r="B368" t="s">
        <v>13</v>
      </c>
      <c r="C368" t="s">
        <v>21</v>
      </c>
      <c r="D368" t="s">
        <v>37</v>
      </c>
      <c r="E368">
        <v>5</v>
      </c>
      <c r="F368">
        <v>186</v>
      </c>
      <c r="G368" t="s">
        <v>40</v>
      </c>
      <c r="H368">
        <v>930</v>
      </c>
      <c r="I368">
        <v>832.91477312715222</v>
      </c>
      <c r="J368">
        <v>97.085226872847784</v>
      </c>
    </row>
    <row r="369" spans="1:10" x14ac:dyDescent="0.35">
      <c r="A369" s="1">
        <v>45446</v>
      </c>
      <c r="B369" t="s">
        <v>10</v>
      </c>
      <c r="C369" t="s">
        <v>19</v>
      </c>
      <c r="D369" t="s">
        <v>30</v>
      </c>
      <c r="E369">
        <v>10</v>
      </c>
      <c r="F369">
        <v>1542</v>
      </c>
      <c r="G369" t="s">
        <v>40</v>
      </c>
      <c r="H369">
        <v>15420</v>
      </c>
      <c r="I369">
        <v>10955.145169184691</v>
      </c>
      <c r="J369">
        <v>4464.8548308153077</v>
      </c>
    </row>
    <row r="370" spans="1:10" x14ac:dyDescent="0.35">
      <c r="A370" s="1">
        <v>45564</v>
      </c>
      <c r="B370" t="s">
        <v>12</v>
      </c>
      <c r="C370" t="s">
        <v>20</v>
      </c>
      <c r="D370" t="s">
        <v>31</v>
      </c>
      <c r="E370">
        <v>2</v>
      </c>
      <c r="F370">
        <v>1877</v>
      </c>
      <c r="G370" t="s">
        <v>38</v>
      </c>
      <c r="H370">
        <v>3754</v>
      </c>
      <c r="I370">
        <v>2845.597713552781</v>
      </c>
      <c r="J370">
        <v>908.40228644721901</v>
      </c>
    </row>
    <row r="371" spans="1:10" x14ac:dyDescent="0.35">
      <c r="A371" s="1">
        <v>45395</v>
      </c>
      <c r="B371" t="s">
        <v>10</v>
      </c>
      <c r="C371" t="s">
        <v>21</v>
      </c>
      <c r="D371" t="s">
        <v>31</v>
      </c>
      <c r="E371">
        <v>9</v>
      </c>
      <c r="F371">
        <v>1322</v>
      </c>
      <c r="G371" t="s">
        <v>40</v>
      </c>
      <c r="H371">
        <v>11898</v>
      </c>
      <c r="I371">
        <v>10166.701552971939</v>
      </c>
      <c r="J371">
        <v>1731.2984470280551</v>
      </c>
    </row>
    <row r="372" spans="1:10" x14ac:dyDescent="0.35">
      <c r="A372" s="1">
        <v>45590</v>
      </c>
      <c r="B372" t="s">
        <v>10</v>
      </c>
      <c r="C372" t="s">
        <v>20</v>
      </c>
      <c r="D372" t="s">
        <v>35</v>
      </c>
      <c r="E372">
        <v>11</v>
      </c>
      <c r="F372">
        <v>1586</v>
      </c>
      <c r="G372" t="s">
        <v>38</v>
      </c>
      <c r="H372">
        <v>17446</v>
      </c>
      <c r="I372">
        <v>13228.05167778157</v>
      </c>
      <c r="J372">
        <v>4217.9483222184299</v>
      </c>
    </row>
    <row r="373" spans="1:10" x14ac:dyDescent="0.35">
      <c r="A373" s="1">
        <v>45537</v>
      </c>
      <c r="B373" t="s">
        <v>12</v>
      </c>
      <c r="C373" t="s">
        <v>17</v>
      </c>
      <c r="D373" t="s">
        <v>35</v>
      </c>
      <c r="E373">
        <v>4</v>
      </c>
      <c r="F373">
        <v>536</v>
      </c>
      <c r="G373" t="s">
        <v>38</v>
      </c>
      <c r="H373">
        <v>2144</v>
      </c>
      <c r="I373">
        <v>1495.088440784805</v>
      </c>
      <c r="J373">
        <v>648.91155921519476</v>
      </c>
    </row>
    <row r="374" spans="1:10" x14ac:dyDescent="0.35">
      <c r="A374" s="1">
        <v>45467</v>
      </c>
      <c r="B374" t="s">
        <v>12</v>
      </c>
      <c r="C374" t="s">
        <v>18</v>
      </c>
      <c r="D374" t="s">
        <v>31</v>
      </c>
      <c r="E374">
        <v>2</v>
      </c>
      <c r="F374">
        <v>1433</v>
      </c>
      <c r="G374" t="s">
        <v>39</v>
      </c>
      <c r="H374">
        <v>2866</v>
      </c>
      <c r="I374">
        <v>2169.9210899545519</v>
      </c>
      <c r="J374">
        <v>696.07891004544808</v>
      </c>
    </row>
    <row r="375" spans="1:10" x14ac:dyDescent="0.35">
      <c r="A375" s="1">
        <v>45330</v>
      </c>
      <c r="B375" t="s">
        <v>11</v>
      </c>
      <c r="C375" t="s">
        <v>23</v>
      </c>
      <c r="D375" t="s">
        <v>37</v>
      </c>
      <c r="E375">
        <v>6</v>
      </c>
      <c r="F375">
        <v>1719</v>
      </c>
      <c r="G375" t="s">
        <v>39</v>
      </c>
      <c r="H375">
        <v>10314</v>
      </c>
      <c r="I375">
        <v>6541.4058617606543</v>
      </c>
      <c r="J375">
        <v>3772.5941382393462</v>
      </c>
    </row>
    <row r="376" spans="1:10" x14ac:dyDescent="0.35">
      <c r="A376" s="1">
        <v>45461</v>
      </c>
      <c r="B376" t="s">
        <v>11</v>
      </c>
      <c r="C376" t="s">
        <v>21</v>
      </c>
      <c r="D376" t="s">
        <v>33</v>
      </c>
      <c r="E376">
        <v>14</v>
      </c>
      <c r="F376">
        <v>1877</v>
      </c>
      <c r="G376" t="s">
        <v>40</v>
      </c>
      <c r="H376">
        <v>26278</v>
      </c>
      <c r="I376">
        <v>16791.696830882021</v>
      </c>
      <c r="J376">
        <v>9486.3031691179822</v>
      </c>
    </row>
    <row r="377" spans="1:10" x14ac:dyDescent="0.35">
      <c r="A377" s="1">
        <v>45538</v>
      </c>
      <c r="B377" t="s">
        <v>13</v>
      </c>
      <c r="C377" t="s">
        <v>21</v>
      </c>
      <c r="D377" t="s">
        <v>31</v>
      </c>
      <c r="E377">
        <v>1</v>
      </c>
      <c r="F377">
        <v>1404</v>
      </c>
      <c r="G377" t="s">
        <v>40</v>
      </c>
      <c r="H377">
        <v>1404</v>
      </c>
      <c r="I377">
        <v>1134.7580925755581</v>
      </c>
      <c r="J377">
        <v>269.24190742444239</v>
      </c>
    </row>
    <row r="378" spans="1:10" x14ac:dyDescent="0.35">
      <c r="A378" s="1">
        <v>45317</v>
      </c>
      <c r="B378" t="s">
        <v>12</v>
      </c>
      <c r="C378" t="s">
        <v>23</v>
      </c>
      <c r="D378" t="s">
        <v>35</v>
      </c>
      <c r="E378">
        <v>18</v>
      </c>
      <c r="F378">
        <v>1446</v>
      </c>
      <c r="G378" t="s">
        <v>39</v>
      </c>
      <c r="H378">
        <v>26028</v>
      </c>
      <c r="I378">
        <v>22780.699796147001</v>
      </c>
      <c r="J378">
        <v>3247.300203853003</v>
      </c>
    </row>
    <row r="379" spans="1:10" x14ac:dyDescent="0.35">
      <c r="A379" s="1">
        <v>45646</v>
      </c>
      <c r="B379" t="s">
        <v>11</v>
      </c>
      <c r="C379" t="s">
        <v>20</v>
      </c>
      <c r="D379" t="s">
        <v>36</v>
      </c>
      <c r="E379">
        <v>7</v>
      </c>
      <c r="F379">
        <v>863</v>
      </c>
      <c r="G379" t="s">
        <v>38</v>
      </c>
      <c r="H379">
        <v>6041</v>
      </c>
      <c r="I379">
        <v>4939.7464813212418</v>
      </c>
      <c r="J379">
        <v>1101.2535186787579</v>
      </c>
    </row>
    <row r="380" spans="1:10" x14ac:dyDescent="0.35">
      <c r="A380" s="1">
        <v>45597</v>
      </c>
      <c r="B380" t="s">
        <v>13</v>
      </c>
      <c r="C380" t="s">
        <v>17</v>
      </c>
      <c r="D380" t="s">
        <v>32</v>
      </c>
      <c r="E380">
        <v>1</v>
      </c>
      <c r="F380">
        <v>801</v>
      </c>
      <c r="G380" t="s">
        <v>38</v>
      </c>
      <c r="H380">
        <v>801</v>
      </c>
      <c r="I380">
        <v>498.52956172996289</v>
      </c>
      <c r="J380">
        <v>302.47043827003711</v>
      </c>
    </row>
    <row r="381" spans="1:10" x14ac:dyDescent="0.35">
      <c r="A381" s="1">
        <v>45304</v>
      </c>
      <c r="B381" t="s">
        <v>13</v>
      </c>
      <c r="C381" t="s">
        <v>24</v>
      </c>
      <c r="D381" t="s">
        <v>37</v>
      </c>
      <c r="E381">
        <v>1</v>
      </c>
      <c r="F381">
        <v>1041</v>
      </c>
      <c r="G381" t="s">
        <v>40</v>
      </c>
      <c r="H381">
        <v>1041</v>
      </c>
      <c r="I381">
        <v>750.42429932498305</v>
      </c>
      <c r="J381">
        <v>290.57570067501689</v>
      </c>
    </row>
    <row r="382" spans="1:10" x14ac:dyDescent="0.35">
      <c r="A382" s="1">
        <v>45607</v>
      </c>
      <c r="B382" t="s">
        <v>13</v>
      </c>
      <c r="C382" t="s">
        <v>23</v>
      </c>
      <c r="D382" t="s">
        <v>34</v>
      </c>
      <c r="E382">
        <v>1</v>
      </c>
      <c r="F382">
        <v>251</v>
      </c>
      <c r="G382" t="s">
        <v>39</v>
      </c>
      <c r="H382">
        <v>251</v>
      </c>
      <c r="I382">
        <v>150.7922851965852</v>
      </c>
      <c r="J382">
        <v>100.2077148034148</v>
      </c>
    </row>
    <row r="383" spans="1:10" x14ac:dyDescent="0.35">
      <c r="A383" s="1">
        <v>45604</v>
      </c>
      <c r="B383" t="s">
        <v>11</v>
      </c>
      <c r="C383" t="s">
        <v>18</v>
      </c>
      <c r="D383" t="s">
        <v>37</v>
      </c>
      <c r="E383">
        <v>4</v>
      </c>
      <c r="F383">
        <v>1425</v>
      </c>
      <c r="G383" t="s">
        <v>39</v>
      </c>
      <c r="H383">
        <v>5700</v>
      </c>
      <c r="I383">
        <v>4294.1635310868323</v>
      </c>
      <c r="J383">
        <v>1405.8364689131679</v>
      </c>
    </row>
    <row r="384" spans="1:10" x14ac:dyDescent="0.35">
      <c r="A384" s="1">
        <v>45327</v>
      </c>
      <c r="B384" t="s">
        <v>12</v>
      </c>
      <c r="C384" t="s">
        <v>19</v>
      </c>
      <c r="D384" t="s">
        <v>36</v>
      </c>
      <c r="E384">
        <v>4</v>
      </c>
      <c r="F384">
        <v>1401</v>
      </c>
      <c r="G384" t="s">
        <v>40</v>
      </c>
      <c r="H384">
        <v>5604</v>
      </c>
      <c r="I384">
        <v>3687.2153799833691</v>
      </c>
      <c r="J384">
        <v>1916.7846200166309</v>
      </c>
    </row>
    <row r="385" spans="1:10" x14ac:dyDescent="0.35">
      <c r="A385" s="1">
        <v>45464</v>
      </c>
      <c r="B385" t="s">
        <v>10</v>
      </c>
      <c r="C385" t="s">
        <v>27</v>
      </c>
      <c r="D385" t="s">
        <v>36</v>
      </c>
      <c r="E385">
        <v>18</v>
      </c>
      <c r="F385">
        <v>1774</v>
      </c>
      <c r="G385" t="s">
        <v>38</v>
      </c>
      <c r="H385">
        <v>31932</v>
      </c>
      <c r="I385">
        <v>27475.69763616104</v>
      </c>
      <c r="J385">
        <v>4456.3023638389604</v>
      </c>
    </row>
    <row r="386" spans="1:10" x14ac:dyDescent="0.35">
      <c r="A386" s="1">
        <v>45311</v>
      </c>
      <c r="B386" t="s">
        <v>13</v>
      </c>
      <c r="C386" t="s">
        <v>23</v>
      </c>
      <c r="D386" t="s">
        <v>34</v>
      </c>
      <c r="E386">
        <v>11</v>
      </c>
      <c r="F386">
        <v>1811</v>
      </c>
      <c r="G386" t="s">
        <v>39</v>
      </c>
      <c r="H386">
        <v>19921</v>
      </c>
      <c r="I386">
        <v>12576.1375764615</v>
      </c>
      <c r="J386">
        <v>7344.8624235385032</v>
      </c>
    </row>
    <row r="387" spans="1:10" x14ac:dyDescent="0.35">
      <c r="A387" s="1">
        <v>45612</v>
      </c>
      <c r="B387" t="s">
        <v>11</v>
      </c>
      <c r="C387" t="s">
        <v>23</v>
      </c>
      <c r="D387" t="s">
        <v>30</v>
      </c>
      <c r="E387">
        <v>1</v>
      </c>
      <c r="F387">
        <v>1131</v>
      </c>
      <c r="G387" t="s">
        <v>39</v>
      </c>
      <c r="H387">
        <v>1131</v>
      </c>
      <c r="I387">
        <v>679.08635216093739</v>
      </c>
      <c r="J387">
        <v>451.91364783906261</v>
      </c>
    </row>
    <row r="388" spans="1:10" x14ac:dyDescent="0.35">
      <c r="A388" s="1">
        <v>45555</v>
      </c>
      <c r="B388" t="s">
        <v>11</v>
      </c>
      <c r="C388" t="s">
        <v>21</v>
      </c>
      <c r="D388" t="s">
        <v>35</v>
      </c>
      <c r="E388">
        <v>10</v>
      </c>
      <c r="F388">
        <v>906</v>
      </c>
      <c r="G388" t="s">
        <v>40</v>
      </c>
      <c r="H388">
        <v>9060</v>
      </c>
      <c r="I388">
        <v>6662.2149451832001</v>
      </c>
      <c r="J388">
        <v>2397.7850548167999</v>
      </c>
    </row>
    <row r="389" spans="1:10" x14ac:dyDescent="0.35">
      <c r="A389" s="1">
        <v>45433</v>
      </c>
      <c r="B389" t="s">
        <v>50</v>
      </c>
      <c r="D389" t="s">
        <v>31</v>
      </c>
      <c r="E389">
        <v>9</v>
      </c>
      <c r="F389">
        <v>334</v>
      </c>
      <c r="G389" t="s">
        <v>40</v>
      </c>
      <c r="H389">
        <v>3006</v>
      </c>
      <c r="I389">
        <v>1943.769753480231</v>
      </c>
      <c r="J389">
        <v>1062.230246519769</v>
      </c>
    </row>
    <row r="390" spans="1:10" x14ac:dyDescent="0.35">
      <c r="A390" s="1">
        <v>45434</v>
      </c>
      <c r="B390" t="s">
        <v>10</v>
      </c>
      <c r="C390" t="s">
        <v>19</v>
      </c>
      <c r="D390" t="s">
        <v>30</v>
      </c>
      <c r="E390">
        <v>4</v>
      </c>
      <c r="F390">
        <v>774</v>
      </c>
      <c r="G390" t="s">
        <v>40</v>
      </c>
      <c r="H390">
        <v>3096</v>
      </c>
      <c r="I390">
        <v>2543.0417518571699</v>
      </c>
      <c r="J390">
        <v>552.95824814283014</v>
      </c>
    </row>
    <row r="391" spans="1:10" x14ac:dyDescent="0.35">
      <c r="A391" s="1">
        <v>45383</v>
      </c>
      <c r="B391" t="s">
        <v>11</v>
      </c>
      <c r="C391" t="s">
        <v>18</v>
      </c>
      <c r="D391" t="s">
        <v>33</v>
      </c>
      <c r="E391">
        <v>6</v>
      </c>
      <c r="F391">
        <v>660</v>
      </c>
      <c r="G391" t="s">
        <v>39</v>
      </c>
      <c r="H391">
        <v>3960</v>
      </c>
      <c r="I391">
        <v>3468.882461356297</v>
      </c>
      <c r="J391">
        <v>491.11753864370257</v>
      </c>
    </row>
    <row r="392" spans="1:10" x14ac:dyDescent="0.35">
      <c r="A392" s="1">
        <v>45645</v>
      </c>
      <c r="B392" t="s">
        <v>12</v>
      </c>
      <c r="C392" t="s">
        <v>19</v>
      </c>
      <c r="E392">
        <v>16</v>
      </c>
      <c r="F392">
        <v>1425</v>
      </c>
      <c r="G392" t="s">
        <v>40</v>
      </c>
      <c r="H392">
        <v>22800</v>
      </c>
      <c r="I392">
        <v>13966.856017829559</v>
      </c>
      <c r="J392">
        <v>8833.1439821704407</v>
      </c>
    </row>
    <row r="393" spans="1:10" x14ac:dyDescent="0.35">
      <c r="A393" s="1">
        <v>45613</v>
      </c>
      <c r="B393" t="s">
        <v>10</v>
      </c>
      <c r="C393" t="s">
        <v>23</v>
      </c>
      <c r="D393" t="s">
        <v>34</v>
      </c>
      <c r="E393">
        <v>2</v>
      </c>
      <c r="F393">
        <v>137</v>
      </c>
      <c r="G393" t="s">
        <v>39</v>
      </c>
      <c r="H393">
        <v>274</v>
      </c>
      <c r="I393">
        <v>196.91684959950311</v>
      </c>
      <c r="J393">
        <v>77.083150400496862</v>
      </c>
    </row>
    <row r="394" spans="1:10" x14ac:dyDescent="0.35">
      <c r="A394" s="1">
        <v>45579</v>
      </c>
      <c r="B394" t="s">
        <v>11</v>
      </c>
      <c r="C394" t="s">
        <v>24</v>
      </c>
      <c r="D394" t="s">
        <v>37</v>
      </c>
      <c r="E394">
        <v>18</v>
      </c>
      <c r="F394">
        <v>1259</v>
      </c>
      <c r="G394" t="s">
        <v>40</v>
      </c>
      <c r="H394">
        <v>22662</v>
      </c>
      <c r="I394">
        <v>20374.146296315961</v>
      </c>
      <c r="J394">
        <v>2287.8537036840389</v>
      </c>
    </row>
    <row r="395" spans="1:10" x14ac:dyDescent="0.35">
      <c r="A395" s="1">
        <v>45506</v>
      </c>
      <c r="B395" t="s">
        <v>10</v>
      </c>
      <c r="C395" t="s">
        <v>22</v>
      </c>
      <c r="D395" t="s">
        <v>30</v>
      </c>
      <c r="E395">
        <v>10</v>
      </c>
      <c r="F395">
        <v>921</v>
      </c>
      <c r="G395" t="s">
        <v>40</v>
      </c>
      <c r="H395">
        <v>9210</v>
      </c>
      <c r="I395">
        <v>7550.3726531118473</v>
      </c>
      <c r="J395">
        <v>1659.6273468881529</v>
      </c>
    </row>
    <row r="396" spans="1:10" x14ac:dyDescent="0.35">
      <c r="A396" s="1">
        <v>45633</v>
      </c>
      <c r="B396" t="s">
        <v>12</v>
      </c>
      <c r="C396" t="s">
        <v>20</v>
      </c>
      <c r="D396" t="s">
        <v>36</v>
      </c>
      <c r="E396">
        <v>17</v>
      </c>
      <c r="F396">
        <v>520</v>
      </c>
      <c r="G396" t="s">
        <v>38</v>
      </c>
      <c r="H396">
        <v>8840</v>
      </c>
      <c r="I396">
        <v>7831.8536311078014</v>
      </c>
      <c r="J396">
        <v>1008.146368892199</v>
      </c>
    </row>
    <row r="397" spans="1:10" x14ac:dyDescent="0.35">
      <c r="A397" s="1">
        <v>45342</v>
      </c>
      <c r="B397" t="s">
        <v>13</v>
      </c>
      <c r="C397" t="s">
        <v>22</v>
      </c>
      <c r="D397" t="s">
        <v>31</v>
      </c>
      <c r="E397">
        <v>13</v>
      </c>
      <c r="F397">
        <v>1342</v>
      </c>
      <c r="G397" t="s">
        <v>40</v>
      </c>
      <c r="H397">
        <v>17446</v>
      </c>
      <c r="I397">
        <v>11326.379098164311</v>
      </c>
      <c r="J397">
        <v>6119.6209018356858</v>
      </c>
    </row>
    <row r="398" spans="1:10" x14ac:dyDescent="0.35">
      <c r="A398" s="1">
        <v>45444</v>
      </c>
      <c r="B398" t="s">
        <v>10</v>
      </c>
      <c r="C398" t="s">
        <v>23</v>
      </c>
      <c r="D398" t="s">
        <v>37</v>
      </c>
      <c r="E398">
        <v>18</v>
      </c>
      <c r="F398">
        <v>447</v>
      </c>
      <c r="G398" t="s">
        <v>39</v>
      </c>
      <c r="H398">
        <v>8046</v>
      </c>
      <c r="I398">
        <v>5361.9394289016773</v>
      </c>
      <c r="J398">
        <v>2684.0605710983232</v>
      </c>
    </row>
    <row r="399" spans="1:10" x14ac:dyDescent="0.35">
      <c r="A399" s="1">
        <v>45477</v>
      </c>
      <c r="B399" t="s">
        <v>50</v>
      </c>
      <c r="C399" t="s">
        <v>22</v>
      </c>
      <c r="D399" t="s">
        <v>33</v>
      </c>
      <c r="E399">
        <v>13</v>
      </c>
      <c r="F399">
        <v>1931</v>
      </c>
      <c r="G399" t="s">
        <v>40</v>
      </c>
      <c r="H399">
        <v>25103</v>
      </c>
      <c r="I399">
        <v>16227.667971810641</v>
      </c>
      <c r="J399">
        <v>8875.332028189363</v>
      </c>
    </row>
    <row r="400" spans="1:10" x14ac:dyDescent="0.35">
      <c r="A400" s="1">
        <v>45354</v>
      </c>
      <c r="B400" t="s">
        <v>11</v>
      </c>
      <c r="C400" t="s">
        <v>23</v>
      </c>
      <c r="D400" t="s">
        <v>36</v>
      </c>
      <c r="E400">
        <v>17</v>
      </c>
      <c r="F400">
        <v>1669</v>
      </c>
      <c r="G400" t="s">
        <v>39</v>
      </c>
      <c r="H400">
        <v>28373</v>
      </c>
      <c r="I400">
        <v>19597.53497859741</v>
      </c>
      <c r="J400">
        <v>8775.4650214025896</v>
      </c>
    </row>
    <row r="401" spans="1:10" x14ac:dyDescent="0.35">
      <c r="A401" s="1">
        <v>45481</v>
      </c>
      <c r="B401" t="s">
        <v>10</v>
      </c>
      <c r="C401" t="s">
        <v>22</v>
      </c>
      <c r="D401" t="s">
        <v>33</v>
      </c>
      <c r="E401">
        <v>5</v>
      </c>
      <c r="F401">
        <v>1987</v>
      </c>
      <c r="G401" t="s">
        <v>40</v>
      </c>
      <c r="H401">
        <v>9935</v>
      </c>
      <c r="I401">
        <v>8120.0267156547388</v>
      </c>
      <c r="J401">
        <v>1814.9732843452609</v>
      </c>
    </row>
    <row r="402" spans="1:10" x14ac:dyDescent="0.35">
      <c r="A402" s="1">
        <v>45416</v>
      </c>
      <c r="B402" t="s">
        <v>10</v>
      </c>
      <c r="C402" t="s">
        <v>19</v>
      </c>
      <c r="D402" t="s">
        <v>31</v>
      </c>
      <c r="E402">
        <v>11</v>
      </c>
      <c r="F402">
        <v>1202</v>
      </c>
      <c r="G402" t="s">
        <v>40</v>
      </c>
      <c r="H402">
        <v>13222</v>
      </c>
      <c r="I402">
        <v>8587.4774245634289</v>
      </c>
      <c r="J402">
        <v>4634.5225754365711</v>
      </c>
    </row>
    <row r="403" spans="1:10" x14ac:dyDescent="0.35">
      <c r="A403" s="1">
        <v>45441</v>
      </c>
      <c r="B403" t="s">
        <v>11</v>
      </c>
      <c r="C403" t="s">
        <v>17</v>
      </c>
      <c r="D403" t="s">
        <v>37</v>
      </c>
      <c r="E403">
        <v>7</v>
      </c>
      <c r="F403">
        <v>847</v>
      </c>
      <c r="G403" t="s">
        <v>38</v>
      </c>
      <c r="H403">
        <v>5929</v>
      </c>
      <c r="I403">
        <v>4489.8550831830053</v>
      </c>
      <c r="J403">
        <v>1439.144916816995</v>
      </c>
    </row>
    <row r="404" spans="1:10" x14ac:dyDescent="0.35">
      <c r="A404" s="1">
        <v>45605</v>
      </c>
      <c r="B404" t="s">
        <v>13</v>
      </c>
      <c r="C404" t="s">
        <v>19</v>
      </c>
      <c r="D404" t="s">
        <v>32</v>
      </c>
      <c r="E404">
        <v>10</v>
      </c>
      <c r="F404">
        <v>372</v>
      </c>
      <c r="G404" t="s">
        <v>40</v>
      </c>
      <c r="H404">
        <v>3720</v>
      </c>
      <c r="I404">
        <v>2532.4382697316678</v>
      </c>
      <c r="J404">
        <v>1187.561730268332</v>
      </c>
    </row>
    <row r="405" spans="1:10" x14ac:dyDescent="0.35">
      <c r="A405" s="1">
        <v>45349</v>
      </c>
      <c r="B405" t="s">
        <v>11</v>
      </c>
      <c r="C405" t="s">
        <v>19</v>
      </c>
      <c r="D405" t="s">
        <v>30</v>
      </c>
      <c r="E405">
        <v>17</v>
      </c>
      <c r="F405">
        <v>1284</v>
      </c>
      <c r="G405" t="s">
        <v>40</v>
      </c>
      <c r="H405">
        <v>21828</v>
      </c>
      <c r="I405">
        <v>18526.705640100179</v>
      </c>
      <c r="J405">
        <v>3301.294359899824</v>
      </c>
    </row>
    <row r="406" spans="1:10" x14ac:dyDescent="0.35">
      <c r="A406" s="1">
        <v>45633</v>
      </c>
      <c r="B406" t="s">
        <v>10</v>
      </c>
      <c r="C406" t="s">
        <v>18</v>
      </c>
      <c r="D406" t="s">
        <v>37</v>
      </c>
      <c r="E406">
        <v>15</v>
      </c>
      <c r="G406" t="s">
        <v>39</v>
      </c>
    </row>
    <row r="407" spans="1:10" x14ac:dyDescent="0.35">
      <c r="A407" s="1">
        <v>45596</v>
      </c>
      <c r="B407" t="s">
        <v>11</v>
      </c>
      <c r="C407" t="s">
        <v>21</v>
      </c>
      <c r="D407" t="s">
        <v>30</v>
      </c>
      <c r="E407">
        <v>18</v>
      </c>
      <c r="F407">
        <v>407</v>
      </c>
      <c r="G407" t="s">
        <v>40</v>
      </c>
      <c r="H407">
        <v>7326</v>
      </c>
      <c r="I407">
        <v>4885.9620558762817</v>
      </c>
      <c r="J407">
        <v>2440.0379441237178</v>
      </c>
    </row>
    <row r="408" spans="1:10" x14ac:dyDescent="0.35">
      <c r="A408" s="1">
        <v>45471</v>
      </c>
      <c r="B408" t="s">
        <v>12</v>
      </c>
      <c r="C408" t="s">
        <v>21</v>
      </c>
      <c r="D408" t="s">
        <v>31</v>
      </c>
      <c r="E408">
        <v>19</v>
      </c>
      <c r="F408">
        <v>1497</v>
      </c>
      <c r="G408" t="s">
        <v>40</v>
      </c>
      <c r="H408">
        <v>28443</v>
      </c>
      <c r="I408">
        <v>22230.258860287671</v>
      </c>
      <c r="J408">
        <v>6212.7411397123287</v>
      </c>
    </row>
    <row r="409" spans="1:10" x14ac:dyDescent="0.35">
      <c r="A409" s="1">
        <v>45461</v>
      </c>
      <c r="B409" t="s">
        <v>11</v>
      </c>
      <c r="C409" t="s">
        <v>22</v>
      </c>
      <c r="D409" t="s">
        <v>37</v>
      </c>
      <c r="E409">
        <v>2</v>
      </c>
      <c r="F409">
        <v>1075</v>
      </c>
      <c r="G409" t="s">
        <v>40</v>
      </c>
      <c r="H409">
        <v>2150</v>
      </c>
      <c r="I409">
        <v>1352.378273773129</v>
      </c>
      <c r="J409">
        <v>797.62172622687149</v>
      </c>
    </row>
    <row r="410" spans="1:10" x14ac:dyDescent="0.35">
      <c r="A410" s="1">
        <v>45617</v>
      </c>
      <c r="B410" t="s">
        <v>10</v>
      </c>
      <c r="C410" t="s">
        <v>23</v>
      </c>
      <c r="D410" t="s">
        <v>30</v>
      </c>
      <c r="E410">
        <v>4</v>
      </c>
      <c r="F410">
        <v>832</v>
      </c>
      <c r="G410" t="s">
        <v>39</v>
      </c>
      <c r="H410">
        <v>3328</v>
      </c>
      <c r="I410">
        <v>2462.3661164004761</v>
      </c>
      <c r="J410">
        <v>865.63388359952432</v>
      </c>
    </row>
    <row r="411" spans="1:10" x14ac:dyDescent="0.35">
      <c r="A411" s="1">
        <v>45562</v>
      </c>
      <c r="B411" t="s">
        <v>11</v>
      </c>
      <c r="C411" t="s">
        <v>18</v>
      </c>
      <c r="D411" t="s">
        <v>34</v>
      </c>
      <c r="E411">
        <v>3</v>
      </c>
      <c r="F411">
        <v>1132</v>
      </c>
      <c r="G411" t="s">
        <v>39</v>
      </c>
      <c r="H411">
        <v>3396</v>
      </c>
      <c r="I411">
        <v>2482.0079936562379</v>
      </c>
      <c r="J411">
        <v>913.99200634376166</v>
      </c>
    </row>
    <row r="412" spans="1:10" x14ac:dyDescent="0.35">
      <c r="A412" s="1">
        <v>45345</v>
      </c>
      <c r="B412" t="s">
        <v>13</v>
      </c>
      <c r="C412" t="s">
        <v>19</v>
      </c>
      <c r="D412" t="s">
        <v>30</v>
      </c>
      <c r="E412">
        <v>7</v>
      </c>
      <c r="F412">
        <v>1924</v>
      </c>
      <c r="G412" t="s">
        <v>40</v>
      </c>
      <c r="H412">
        <v>13468</v>
      </c>
      <c r="I412">
        <v>11525.33395676265</v>
      </c>
      <c r="J412">
        <v>1942.666043237346</v>
      </c>
    </row>
    <row r="413" spans="1:10" x14ac:dyDescent="0.35">
      <c r="A413" s="1">
        <v>45392</v>
      </c>
      <c r="B413" t="s">
        <v>11</v>
      </c>
      <c r="C413" t="s">
        <v>18</v>
      </c>
      <c r="D413" t="s">
        <v>37</v>
      </c>
      <c r="E413">
        <v>18</v>
      </c>
      <c r="F413">
        <v>543</v>
      </c>
      <c r="G413" t="s">
        <v>39</v>
      </c>
      <c r="H413">
        <v>9774</v>
      </c>
      <c r="I413">
        <v>7698.1896498037304</v>
      </c>
      <c r="J413">
        <v>2075.8103501962701</v>
      </c>
    </row>
    <row r="414" spans="1:10" x14ac:dyDescent="0.35">
      <c r="A414" s="1">
        <v>45555</v>
      </c>
      <c r="B414" t="s">
        <v>13</v>
      </c>
      <c r="C414" t="s">
        <v>22</v>
      </c>
      <c r="D414" t="s">
        <v>35</v>
      </c>
      <c r="E414">
        <v>10</v>
      </c>
      <c r="F414">
        <v>1236</v>
      </c>
      <c r="G414" t="s">
        <v>40</v>
      </c>
      <c r="H414">
        <v>12360</v>
      </c>
      <c r="I414">
        <v>9788.015246485953</v>
      </c>
      <c r="J414">
        <v>2571.984753514047</v>
      </c>
    </row>
    <row r="415" spans="1:10" x14ac:dyDescent="0.35">
      <c r="A415" s="1">
        <v>45344</v>
      </c>
      <c r="B415" t="s">
        <v>12</v>
      </c>
      <c r="C415" t="s">
        <v>21</v>
      </c>
      <c r="D415" t="s">
        <v>37</v>
      </c>
      <c r="E415">
        <v>7</v>
      </c>
      <c r="F415">
        <v>1328</v>
      </c>
      <c r="G415" t="s">
        <v>40</v>
      </c>
      <c r="H415">
        <v>9296</v>
      </c>
      <c r="I415">
        <v>8232.0010398696268</v>
      </c>
      <c r="J415">
        <v>1063.998960130373</v>
      </c>
    </row>
    <row r="416" spans="1:10" x14ac:dyDescent="0.35">
      <c r="A416" s="1">
        <v>45351</v>
      </c>
      <c r="B416" t="s">
        <v>13</v>
      </c>
      <c r="C416" t="s">
        <v>17</v>
      </c>
      <c r="D416" t="s">
        <v>37</v>
      </c>
      <c r="E416">
        <v>8</v>
      </c>
      <c r="F416">
        <v>504</v>
      </c>
      <c r="G416" t="s">
        <v>38</v>
      </c>
      <c r="H416">
        <v>4032</v>
      </c>
      <c r="I416">
        <v>3607.4631099911539</v>
      </c>
      <c r="J416">
        <v>424.5368900088456</v>
      </c>
    </row>
    <row r="417" spans="1:10" x14ac:dyDescent="0.35">
      <c r="A417" s="1">
        <v>45399</v>
      </c>
      <c r="B417" t="s">
        <v>11</v>
      </c>
      <c r="C417" t="s">
        <v>20</v>
      </c>
      <c r="D417" t="s">
        <v>30</v>
      </c>
      <c r="E417">
        <v>6</v>
      </c>
      <c r="F417">
        <v>1821</v>
      </c>
      <c r="G417" t="s">
        <v>38</v>
      </c>
      <c r="H417">
        <v>10926</v>
      </c>
      <c r="I417">
        <v>8697.297253050574</v>
      </c>
      <c r="J417">
        <v>2228.702746949426</v>
      </c>
    </row>
    <row r="418" spans="1:10" x14ac:dyDescent="0.35">
      <c r="A418" s="1">
        <v>45296</v>
      </c>
      <c r="B418" t="s">
        <v>10</v>
      </c>
      <c r="C418" t="s">
        <v>22</v>
      </c>
      <c r="D418" t="s">
        <v>33</v>
      </c>
      <c r="E418">
        <v>1</v>
      </c>
      <c r="F418">
        <v>952</v>
      </c>
      <c r="G418" t="s">
        <v>40</v>
      </c>
      <c r="H418">
        <v>952</v>
      </c>
      <c r="I418">
        <v>720.28361416342671</v>
      </c>
      <c r="J418">
        <v>231.71638583657329</v>
      </c>
    </row>
    <row r="419" spans="1:10" x14ac:dyDescent="0.35">
      <c r="A419" s="1">
        <v>45394</v>
      </c>
      <c r="B419" t="s">
        <v>13</v>
      </c>
      <c r="C419" t="s">
        <v>18</v>
      </c>
      <c r="D419" t="s">
        <v>32</v>
      </c>
      <c r="E419">
        <v>4</v>
      </c>
      <c r="F419">
        <v>1320</v>
      </c>
      <c r="G419" t="s">
        <v>39</v>
      </c>
      <c r="H419">
        <v>5280</v>
      </c>
      <c r="I419">
        <v>4130.9453726083693</v>
      </c>
      <c r="J419">
        <v>1149.0546273916309</v>
      </c>
    </row>
    <row r="420" spans="1:10" x14ac:dyDescent="0.35">
      <c r="A420" s="1">
        <v>45487</v>
      </c>
      <c r="B420" t="s">
        <v>12</v>
      </c>
      <c r="C420" t="s">
        <v>17</v>
      </c>
      <c r="D420" t="s">
        <v>33</v>
      </c>
      <c r="E420">
        <v>14</v>
      </c>
      <c r="F420">
        <v>877</v>
      </c>
      <c r="G420" t="s">
        <v>38</v>
      </c>
      <c r="H420">
        <v>12278</v>
      </c>
      <c r="I420">
        <v>8775.4931431964942</v>
      </c>
      <c r="J420">
        <v>3502.5068568035058</v>
      </c>
    </row>
    <row r="421" spans="1:10" x14ac:dyDescent="0.35">
      <c r="A421" s="1">
        <v>45553</v>
      </c>
      <c r="B421" t="s">
        <v>13</v>
      </c>
      <c r="C421" t="s">
        <v>20</v>
      </c>
      <c r="D421" t="s">
        <v>30</v>
      </c>
      <c r="E421">
        <v>17</v>
      </c>
      <c r="F421">
        <v>1897</v>
      </c>
      <c r="G421" t="s">
        <v>38</v>
      </c>
      <c r="H421">
        <v>32249</v>
      </c>
      <c r="I421">
        <v>28902.746532103662</v>
      </c>
      <c r="J421">
        <v>3346.253467896342</v>
      </c>
    </row>
    <row r="422" spans="1:10" x14ac:dyDescent="0.35">
      <c r="A422" s="1">
        <v>45656</v>
      </c>
      <c r="B422" t="s">
        <v>13</v>
      </c>
      <c r="C422" t="s">
        <v>24</v>
      </c>
      <c r="D422" t="s">
        <v>33</v>
      </c>
      <c r="E422">
        <v>18</v>
      </c>
      <c r="F422">
        <v>1883</v>
      </c>
      <c r="G422" t="s">
        <v>40</v>
      </c>
      <c r="H422">
        <v>33894</v>
      </c>
      <c r="I422">
        <v>27505.197170815962</v>
      </c>
      <c r="J422">
        <v>6388.8028291840383</v>
      </c>
    </row>
    <row r="423" spans="1:10" x14ac:dyDescent="0.35">
      <c r="A423" s="1">
        <v>45641</v>
      </c>
      <c r="B423" t="s">
        <v>13</v>
      </c>
      <c r="C423" t="s">
        <v>22</v>
      </c>
      <c r="D423" t="s">
        <v>36</v>
      </c>
      <c r="E423">
        <v>11</v>
      </c>
      <c r="F423">
        <v>214</v>
      </c>
      <c r="G423" t="s">
        <v>40</v>
      </c>
      <c r="H423">
        <v>2354</v>
      </c>
      <c r="I423">
        <v>1617.9089981905661</v>
      </c>
      <c r="J423">
        <v>736.09100180943392</v>
      </c>
    </row>
    <row r="424" spans="1:10" x14ac:dyDescent="0.35">
      <c r="A424" s="1">
        <v>45338</v>
      </c>
      <c r="B424" t="s">
        <v>12</v>
      </c>
      <c r="C424" t="s">
        <v>22</v>
      </c>
      <c r="D424" t="s">
        <v>35</v>
      </c>
      <c r="E424">
        <v>14</v>
      </c>
      <c r="F424">
        <v>1244</v>
      </c>
      <c r="G424" t="s">
        <v>40</v>
      </c>
      <c r="H424">
        <v>17416</v>
      </c>
      <c r="I424">
        <v>10751.417358869259</v>
      </c>
      <c r="J424">
        <v>6664.5826411307371</v>
      </c>
    </row>
    <row r="425" spans="1:10" x14ac:dyDescent="0.35">
      <c r="A425" s="1">
        <v>45646</v>
      </c>
      <c r="B425" t="s">
        <v>11</v>
      </c>
      <c r="C425" t="s">
        <v>24</v>
      </c>
      <c r="D425" t="s">
        <v>33</v>
      </c>
      <c r="E425">
        <v>9</v>
      </c>
      <c r="F425">
        <v>1776</v>
      </c>
      <c r="G425" t="s">
        <v>40</v>
      </c>
      <c r="H425">
        <v>15984</v>
      </c>
      <c r="I425">
        <v>9804.850594669515</v>
      </c>
      <c r="J425">
        <v>6179.149405330485</v>
      </c>
    </row>
    <row r="426" spans="1:10" x14ac:dyDescent="0.35">
      <c r="A426" s="1">
        <v>45602</v>
      </c>
      <c r="B426" t="s">
        <v>13</v>
      </c>
      <c r="C426" t="s">
        <v>24</v>
      </c>
      <c r="D426" t="s">
        <v>34</v>
      </c>
      <c r="E426">
        <v>15</v>
      </c>
      <c r="F426">
        <v>164</v>
      </c>
      <c r="G426" t="s">
        <v>40</v>
      </c>
      <c r="H426">
        <v>2460</v>
      </c>
      <c r="I426">
        <v>1627.225779628586</v>
      </c>
      <c r="J426">
        <v>832.774220371414</v>
      </c>
    </row>
    <row r="427" spans="1:10" x14ac:dyDescent="0.35">
      <c r="A427" s="1">
        <v>45599</v>
      </c>
      <c r="B427" t="s">
        <v>13</v>
      </c>
      <c r="C427" t="s">
        <v>22</v>
      </c>
      <c r="D427" t="s">
        <v>31</v>
      </c>
      <c r="E427">
        <v>12</v>
      </c>
      <c r="F427">
        <v>1399</v>
      </c>
      <c r="G427" t="s">
        <v>40</v>
      </c>
      <c r="H427">
        <v>16788</v>
      </c>
      <c r="I427">
        <v>11245.843306440371</v>
      </c>
      <c r="J427">
        <v>5542.1566935596265</v>
      </c>
    </row>
    <row r="428" spans="1:10" x14ac:dyDescent="0.35">
      <c r="A428" s="1">
        <v>45435</v>
      </c>
      <c r="B428" t="s">
        <v>10</v>
      </c>
      <c r="C428" t="s">
        <v>24</v>
      </c>
      <c r="D428" t="s">
        <v>34</v>
      </c>
      <c r="E428">
        <v>10</v>
      </c>
      <c r="F428">
        <v>924</v>
      </c>
      <c r="G428" t="s">
        <v>40</v>
      </c>
      <c r="H428">
        <v>9240</v>
      </c>
      <c r="I428">
        <v>6694.5061092402111</v>
      </c>
      <c r="J428">
        <v>2545.4938907597889</v>
      </c>
    </row>
    <row r="429" spans="1:10" x14ac:dyDescent="0.35">
      <c r="A429" s="1">
        <v>45560</v>
      </c>
      <c r="B429" t="s">
        <v>12</v>
      </c>
      <c r="C429" t="s">
        <v>19</v>
      </c>
      <c r="D429" t="s">
        <v>31</v>
      </c>
      <c r="E429">
        <v>19</v>
      </c>
      <c r="F429">
        <v>338</v>
      </c>
      <c r="G429" t="s">
        <v>40</v>
      </c>
      <c r="H429">
        <v>6422</v>
      </c>
      <c r="I429">
        <v>4267.1223260184061</v>
      </c>
      <c r="J429">
        <v>2154.8776739815939</v>
      </c>
    </row>
    <row r="430" spans="1:10" x14ac:dyDescent="0.35">
      <c r="A430" s="1">
        <v>45415</v>
      </c>
      <c r="B430" t="s">
        <v>13</v>
      </c>
      <c r="C430" t="s">
        <v>20</v>
      </c>
      <c r="E430">
        <v>19</v>
      </c>
      <c r="F430">
        <v>401</v>
      </c>
      <c r="G430" t="s">
        <v>38</v>
      </c>
      <c r="H430">
        <v>7619</v>
      </c>
      <c r="I430">
        <v>6013.4719718206889</v>
      </c>
      <c r="J430">
        <v>1605.5280281793109</v>
      </c>
    </row>
    <row r="431" spans="1:10" x14ac:dyDescent="0.35">
      <c r="A431" s="1">
        <v>45397</v>
      </c>
      <c r="B431" t="s">
        <v>12</v>
      </c>
      <c r="C431" t="s">
        <v>20</v>
      </c>
      <c r="D431" t="s">
        <v>36</v>
      </c>
      <c r="E431">
        <v>6</v>
      </c>
      <c r="G431" t="s">
        <v>38</v>
      </c>
    </row>
    <row r="432" spans="1:10" x14ac:dyDescent="0.35">
      <c r="A432" s="1">
        <v>45449</v>
      </c>
      <c r="B432" t="s">
        <v>13</v>
      </c>
      <c r="C432" t="s">
        <v>20</v>
      </c>
      <c r="D432" t="s">
        <v>35</v>
      </c>
      <c r="E432">
        <v>6</v>
      </c>
      <c r="F432">
        <v>1645</v>
      </c>
      <c r="G432" t="s">
        <v>38</v>
      </c>
      <c r="H432">
        <v>9870</v>
      </c>
      <c r="I432">
        <v>6478.3024318047328</v>
      </c>
      <c r="J432">
        <v>3391.6975681952672</v>
      </c>
    </row>
    <row r="433" spans="1:10" x14ac:dyDescent="0.35">
      <c r="A433" s="1">
        <v>45438</v>
      </c>
      <c r="B433" t="s">
        <v>11</v>
      </c>
      <c r="C433" t="s">
        <v>19</v>
      </c>
      <c r="D433" t="s">
        <v>34</v>
      </c>
      <c r="E433">
        <v>8</v>
      </c>
      <c r="F433">
        <v>1068</v>
      </c>
      <c r="G433" t="s">
        <v>40</v>
      </c>
      <c r="H433">
        <v>8544</v>
      </c>
      <c r="I433">
        <v>6334.2746599459078</v>
      </c>
      <c r="J433">
        <v>2209.7253400540922</v>
      </c>
    </row>
    <row r="434" spans="1:10" x14ac:dyDescent="0.35">
      <c r="A434" s="1">
        <v>45436</v>
      </c>
      <c r="B434" t="s">
        <v>11</v>
      </c>
      <c r="C434" t="s">
        <v>23</v>
      </c>
      <c r="D434" t="s">
        <v>35</v>
      </c>
      <c r="E434">
        <v>1</v>
      </c>
      <c r="F434">
        <v>468</v>
      </c>
      <c r="G434" t="s">
        <v>39</v>
      </c>
      <c r="H434">
        <v>468</v>
      </c>
      <c r="I434">
        <v>405.56907134506417</v>
      </c>
      <c r="J434">
        <v>62.430928654935833</v>
      </c>
    </row>
    <row r="435" spans="1:10" x14ac:dyDescent="0.35">
      <c r="A435" s="1">
        <v>45411</v>
      </c>
      <c r="B435" t="s">
        <v>13</v>
      </c>
      <c r="C435" t="s">
        <v>24</v>
      </c>
      <c r="D435" t="s">
        <v>34</v>
      </c>
      <c r="E435">
        <v>17</v>
      </c>
      <c r="F435">
        <v>332</v>
      </c>
      <c r="G435" t="s">
        <v>40</v>
      </c>
      <c r="H435">
        <v>5644</v>
      </c>
      <c r="I435">
        <v>4179.3348512295033</v>
      </c>
      <c r="J435">
        <v>1464.6651487704969</v>
      </c>
    </row>
    <row r="436" spans="1:10" x14ac:dyDescent="0.35">
      <c r="A436" s="1">
        <v>45610</v>
      </c>
      <c r="B436" t="s">
        <v>11</v>
      </c>
      <c r="C436" t="s">
        <v>17</v>
      </c>
      <c r="D436" t="s">
        <v>37</v>
      </c>
      <c r="E436">
        <v>17</v>
      </c>
      <c r="F436">
        <v>294</v>
      </c>
      <c r="G436" t="s">
        <v>38</v>
      </c>
      <c r="H436">
        <v>4998</v>
      </c>
      <c r="I436">
        <v>3619.3248076115069</v>
      </c>
      <c r="J436">
        <v>1378.6751923884931</v>
      </c>
    </row>
    <row r="437" spans="1:10" x14ac:dyDescent="0.35">
      <c r="A437" s="1">
        <v>45566</v>
      </c>
      <c r="B437" t="s">
        <v>13</v>
      </c>
      <c r="C437" t="s">
        <v>24</v>
      </c>
      <c r="D437" t="s">
        <v>31</v>
      </c>
      <c r="E437">
        <v>15</v>
      </c>
      <c r="F437">
        <v>1006</v>
      </c>
      <c r="G437" t="s">
        <v>40</v>
      </c>
      <c r="H437">
        <v>15090</v>
      </c>
      <c r="I437">
        <v>11671.0356460701</v>
      </c>
      <c r="J437">
        <v>3418.9643539298982</v>
      </c>
    </row>
    <row r="438" spans="1:10" x14ac:dyDescent="0.35">
      <c r="A438" s="1">
        <v>45383</v>
      </c>
      <c r="B438" t="s">
        <v>11</v>
      </c>
      <c r="C438" t="s">
        <v>22</v>
      </c>
      <c r="D438" t="s">
        <v>32</v>
      </c>
      <c r="E438">
        <v>7</v>
      </c>
      <c r="F438">
        <v>1135</v>
      </c>
      <c r="G438" t="s">
        <v>40</v>
      </c>
      <c r="H438">
        <v>7945</v>
      </c>
      <c r="I438">
        <v>5380.0688033045062</v>
      </c>
      <c r="J438">
        <v>2564.9311966954938</v>
      </c>
    </row>
    <row r="439" spans="1:10" x14ac:dyDescent="0.35">
      <c r="A439" s="1">
        <v>45349</v>
      </c>
      <c r="B439" t="s">
        <v>10</v>
      </c>
      <c r="C439" t="s">
        <v>21</v>
      </c>
      <c r="D439" t="s">
        <v>36</v>
      </c>
      <c r="E439">
        <v>19</v>
      </c>
      <c r="F439">
        <v>1020</v>
      </c>
      <c r="G439" t="s">
        <v>40</v>
      </c>
      <c r="H439">
        <v>19380</v>
      </c>
      <c r="I439">
        <v>13682.88012780739</v>
      </c>
      <c r="J439">
        <v>5697.1198721926139</v>
      </c>
    </row>
    <row r="440" spans="1:10" x14ac:dyDescent="0.35">
      <c r="A440" s="1">
        <v>45637</v>
      </c>
      <c r="B440" t="s">
        <v>10</v>
      </c>
      <c r="C440" t="s">
        <v>18</v>
      </c>
      <c r="D440" t="s">
        <v>34</v>
      </c>
      <c r="E440">
        <v>3</v>
      </c>
      <c r="F440">
        <v>788</v>
      </c>
      <c r="G440" t="s">
        <v>39</v>
      </c>
      <c r="H440">
        <v>2364</v>
      </c>
      <c r="I440">
        <v>1570.0519633191291</v>
      </c>
      <c r="J440">
        <v>793.94803668087093</v>
      </c>
    </row>
    <row r="441" spans="1:10" x14ac:dyDescent="0.35">
      <c r="A441" s="1">
        <v>45520</v>
      </c>
      <c r="B441" t="s">
        <v>10</v>
      </c>
      <c r="C441" t="s">
        <v>18</v>
      </c>
      <c r="D441" t="s">
        <v>34</v>
      </c>
      <c r="E441">
        <v>11</v>
      </c>
      <c r="G441" t="s">
        <v>39</v>
      </c>
    </row>
    <row r="442" spans="1:10" x14ac:dyDescent="0.35">
      <c r="A442" s="1">
        <v>45408</v>
      </c>
      <c r="B442" t="s">
        <v>12</v>
      </c>
      <c r="C442" t="s">
        <v>20</v>
      </c>
      <c r="D442" t="s">
        <v>37</v>
      </c>
      <c r="E442">
        <v>19</v>
      </c>
      <c r="F442">
        <v>316</v>
      </c>
      <c r="G442" t="s">
        <v>38</v>
      </c>
      <c r="H442">
        <v>6004</v>
      </c>
      <c r="I442">
        <v>4858.5344758984711</v>
      </c>
      <c r="J442">
        <v>1145.4655241015289</v>
      </c>
    </row>
    <row r="443" spans="1:10" x14ac:dyDescent="0.35">
      <c r="A443" s="1">
        <v>45609</v>
      </c>
      <c r="B443" t="s">
        <v>12</v>
      </c>
      <c r="C443" t="s">
        <v>24</v>
      </c>
      <c r="D443" t="s">
        <v>36</v>
      </c>
      <c r="F443">
        <v>1134</v>
      </c>
      <c r="G443" t="s">
        <v>40</v>
      </c>
    </row>
    <row r="444" spans="1:10" x14ac:dyDescent="0.35">
      <c r="A444" s="1">
        <v>45570</v>
      </c>
      <c r="B444" t="s">
        <v>10</v>
      </c>
      <c r="C444" t="s">
        <v>17</v>
      </c>
      <c r="D444" t="s">
        <v>31</v>
      </c>
      <c r="E444">
        <v>10</v>
      </c>
      <c r="F444">
        <v>1569</v>
      </c>
      <c r="G444" t="s">
        <v>38</v>
      </c>
      <c r="H444">
        <v>15690</v>
      </c>
      <c r="I444">
        <v>10613.427469160129</v>
      </c>
      <c r="J444">
        <v>5076.5725308398651</v>
      </c>
    </row>
    <row r="445" spans="1:10" x14ac:dyDescent="0.35">
      <c r="A445" s="1">
        <v>45418</v>
      </c>
      <c r="B445" t="s">
        <v>12</v>
      </c>
      <c r="C445" t="s">
        <v>22</v>
      </c>
      <c r="D445" t="s">
        <v>31</v>
      </c>
      <c r="E445">
        <v>2</v>
      </c>
      <c r="F445">
        <v>729</v>
      </c>
      <c r="G445" t="s">
        <v>40</v>
      </c>
      <c r="H445">
        <v>1458</v>
      </c>
      <c r="I445">
        <v>1215.818125194161</v>
      </c>
      <c r="J445">
        <v>242.18187480583919</v>
      </c>
    </row>
    <row r="446" spans="1:10" x14ac:dyDescent="0.35">
      <c r="A446" s="1">
        <v>45420</v>
      </c>
      <c r="B446" t="s">
        <v>11</v>
      </c>
      <c r="C446" t="s">
        <v>19</v>
      </c>
      <c r="D446" t="s">
        <v>34</v>
      </c>
      <c r="F446">
        <v>263</v>
      </c>
      <c r="G446" t="s">
        <v>40</v>
      </c>
    </row>
    <row r="447" spans="1:10" x14ac:dyDescent="0.35">
      <c r="A447" s="1">
        <v>45349</v>
      </c>
      <c r="B447" t="s">
        <v>13</v>
      </c>
      <c r="C447" t="s">
        <v>23</v>
      </c>
      <c r="D447" t="s">
        <v>32</v>
      </c>
      <c r="E447">
        <v>16</v>
      </c>
      <c r="F447">
        <v>1674</v>
      </c>
      <c r="G447" t="s">
        <v>39</v>
      </c>
      <c r="H447">
        <v>26784</v>
      </c>
      <c r="I447">
        <v>17278.183376746729</v>
      </c>
      <c r="J447">
        <v>9505.8166232532712</v>
      </c>
    </row>
    <row r="448" spans="1:10" x14ac:dyDescent="0.35">
      <c r="A448" s="1">
        <v>45413</v>
      </c>
      <c r="B448" t="s">
        <v>13</v>
      </c>
      <c r="C448" t="s">
        <v>19</v>
      </c>
      <c r="D448" t="s">
        <v>32</v>
      </c>
      <c r="E448">
        <v>18</v>
      </c>
      <c r="F448">
        <v>152</v>
      </c>
      <c r="G448" t="s">
        <v>40</v>
      </c>
      <c r="H448">
        <v>2736</v>
      </c>
      <c r="I448">
        <v>1928.723020922449</v>
      </c>
      <c r="J448">
        <v>807.27697907755078</v>
      </c>
    </row>
    <row r="449" spans="1:10" x14ac:dyDescent="0.35">
      <c r="A449" s="1">
        <v>45292</v>
      </c>
      <c r="B449" t="s">
        <v>50</v>
      </c>
      <c r="C449" t="s">
        <v>17</v>
      </c>
      <c r="D449" t="s">
        <v>35</v>
      </c>
      <c r="F449">
        <v>317</v>
      </c>
      <c r="G449" t="s">
        <v>38</v>
      </c>
    </row>
    <row r="450" spans="1:10" x14ac:dyDescent="0.35">
      <c r="A450" s="1">
        <v>45530</v>
      </c>
      <c r="B450" t="s">
        <v>10</v>
      </c>
      <c r="C450" t="s">
        <v>22</v>
      </c>
      <c r="D450" t="s">
        <v>36</v>
      </c>
      <c r="E450">
        <v>6</v>
      </c>
      <c r="F450">
        <v>1841</v>
      </c>
      <c r="G450" t="s">
        <v>40</v>
      </c>
      <c r="H450">
        <v>11046</v>
      </c>
      <c r="I450">
        <v>7098.1656271540141</v>
      </c>
      <c r="J450">
        <v>3947.8343728459859</v>
      </c>
    </row>
    <row r="451" spans="1:10" x14ac:dyDescent="0.35">
      <c r="A451" s="1">
        <v>45581</v>
      </c>
      <c r="B451" t="s">
        <v>12</v>
      </c>
      <c r="C451" t="s">
        <v>20</v>
      </c>
      <c r="D451" t="s">
        <v>36</v>
      </c>
      <c r="E451">
        <v>14</v>
      </c>
      <c r="F451">
        <v>1098</v>
      </c>
      <c r="G451" t="s">
        <v>38</v>
      </c>
      <c r="H451">
        <v>15372</v>
      </c>
      <c r="I451">
        <v>12211.918526199361</v>
      </c>
      <c r="J451">
        <v>3160.0814738006429</v>
      </c>
    </row>
    <row r="452" spans="1:10" x14ac:dyDescent="0.35">
      <c r="A452" s="1">
        <v>45387</v>
      </c>
      <c r="B452" t="s">
        <v>11</v>
      </c>
      <c r="C452" t="s">
        <v>24</v>
      </c>
      <c r="D452" t="s">
        <v>31</v>
      </c>
      <c r="E452">
        <v>15</v>
      </c>
      <c r="F452">
        <v>923</v>
      </c>
      <c r="G452" t="s">
        <v>40</v>
      </c>
      <c r="H452">
        <v>13845</v>
      </c>
      <c r="I452">
        <v>11891.752922438871</v>
      </c>
      <c r="J452">
        <v>1953.247077561125</v>
      </c>
    </row>
    <row r="453" spans="1:10" x14ac:dyDescent="0.35">
      <c r="A453" s="1">
        <v>45417</v>
      </c>
      <c r="B453" t="s">
        <v>11</v>
      </c>
      <c r="C453" t="s">
        <v>22</v>
      </c>
      <c r="D453" t="s">
        <v>35</v>
      </c>
      <c r="E453">
        <v>14</v>
      </c>
      <c r="F453">
        <v>1483</v>
      </c>
      <c r="G453" t="s">
        <v>40</v>
      </c>
      <c r="H453">
        <v>20762</v>
      </c>
      <c r="I453">
        <v>14283.05498219342</v>
      </c>
      <c r="J453">
        <v>6478.9450178065817</v>
      </c>
    </row>
    <row r="454" spans="1:10" x14ac:dyDescent="0.35">
      <c r="A454" s="1">
        <v>45409</v>
      </c>
      <c r="B454" t="s">
        <v>10</v>
      </c>
      <c r="C454" t="s">
        <v>18</v>
      </c>
      <c r="D454" t="s">
        <v>37</v>
      </c>
      <c r="E454">
        <v>3</v>
      </c>
      <c r="F454">
        <v>484</v>
      </c>
      <c r="G454" t="s">
        <v>39</v>
      </c>
      <c r="H454">
        <v>1452</v>
      </c>
      <c r="I454">
        <v>1067.3100019797459</v>
      </c>
      <c r="J454">
        <v>384.68999802025382</v>
      </c>
    </row>
    <row r="455" spans="1:10" x14ac:dyDescent="0.35">
      <c r="A455" s="1">
        <v>45339</v>
      </c>
      <c r="B455" t="s">
        <v>11</v>
      </c>
      <c r="C455" t="s">
        <v>23</v>
      </c>
      <c r="D455" t="s">
        <v>36</v>
      </c>
      <c r="E455">
        <v>19</v>
      </c>
      <c r="F455">
        <v>155</v>
      </c>
      <c r="G455" t="s">
        <v>39</v>
      </c>
      <c r="H455">
        <v>2945</v>
      </c>
      <c r="I455">
        <v>1968.7122610398451</v>
      </c>
      <c r="J455">
        <v>976.28773896015514</v>
      </c>
    </row>
    <row r="456" spans="1:10" x14ac:dyDescent="0.35">
      <c r="A456" s="1">
        <v>45380</v>
      </c>
      <c r="B456" t="s">
        <v>11</v>
      </c>
      <c r="C456" t="s">
        <v>19</v>
      </c>
      <c r="D456" t="s">
        <v>35</v>
      </c>
      <c r="E456">
        <v>12</v>
      </c>
      <c r="F456">
        <v>217</v>
      </c>
      <c r="G456" t="s">
        <v>40</v>
      </c>
      <c r="H456">
        <v>2604</v>
      </c>
      <c r="I456">
        <v>1844.617662749793</v>
      </c>
      <c r="J456">
        <v>759.38233725020746</v>
      </c>
    </row>
    <row r="457" spans="1:10" x14ac:dyDescent="0.35">
      <c r="A457" s="1">
        <v>45528</v>
      </c>
      <c r="B457" t="s">
        <v>11</v>
      </c>
      <c r="C457" t="s">
        <v>23</v>
      </c>
      <c r="D457" t="s">
        <v>35</v>
      </c>
      <c r="E457">
        <v>2</v>
      </c>
      <c r="F457">
        <v>999</v>
      </c>
      <c r="G457" t="s">
        <v>39</v>
      </c>
      <c r="H457">
        <v>1998</v>
      </c>
      <c r="I457">
        <v>1211.969160139023</v>
      </c>
      <c r="J457">
        <v>786.03083986097704</v>
      </c>
    </row>
    <row r="458" spans="1:10" x14ac:dyDescent="0.35">
      <c r="A458" s="1">
        <v>45563</v>
      </c>
      <c r="B458" t="s">
        <v>11</v>
      </c>
      <c r="C458" t="s">
        <v>23</v>
      </c>
      <c r="D458" t="s">
        <v>34</v>
      </c>
      <c r="E458">
        <v>3</v>
      </c>
      <c r="F458">
        <v>1376</v>
      </c>
      <c r="G458" t="s">
        <v>39</v>
      </c>
      <c r="H458">
        <v>4128</v>
      </c>
      <c r="I458">
        <v>3657.9480202699651</v>
      </c>
      <c r="J458">
        <v>470.05197973003487</v>
      </c>
    </row>
    <row r="459" spans="1:10" x14ac:dyDescent="0.35">
      <c r="A459" s="1">
        <v>45480</v>
      </c>
      <c r="B459" t="s">
        <v>12</v>
      </c>
      <c r="C459" t="s">
        <v>17</v>
      </c>
      <c r="D459" t="s">
        <v>31</v>
      </c>
      <c r="E459">
        <v>18</v>
      </c>
      <c r="F459">
        <v>897</v>
      </c>
      <c r="G459" t="s">
        <v>38</v>
      </c>
      <c r="H459">
        <v>16146</v>
      </c>
      <c r="I459">
        <v>11702.08901475723</v>
      </c>
      <c r="J459">
        <v>4443.91098524277</v>
      </c>
    </row>
    <row r="460" spans="1:10" x14ac:dyDescent="0.35">
      <c r="A460" s="1">
        <v>45483</v>
      </c>
      <c r="B460" t="s">
        <v>11</v>
      </c>
      <c r="C460" t="s">
        <v>17</v>
      </c>
      <c r="D460" t="s">
        <v>35</v>
      </c>
      <c r="E460">
        <v>1</v>
      </c>
      <c r="F460">
        <v>879</v>
      </c>
      <c r="G460" t="s">
        <v>38</v>
      </c>
      <c r="H460">
        <v>879</v>
      </c>
      <c r="I460">
        <v>735.42504795902778</v>
      </c>
      <c r="J460">
        <v>143.57495204097219</v>
      </c>
    </row>
    <row r="461" spans="1:10" x14ac:dyDescent="0.35">
      <c r="A461" s="1">
        <v>45360</v>
      </c>
      <c r="B461" t="s">
        <v>13</v>
      </c>
      <c r="C461" t="s">
        <v>24</v>
      </c>
      <c r="D461" t="s">
        <v>30</v>
      </c>
      <c r="E461">
        <v>6</v>
      </c>
      <c r="F461">
        <v>1115</v>
      </c>
      <c r="G461" t="s">
        <v>40</v>
      </c>
      <c r="H461">
        <v>6690</v>
      </c>
      <c r="I461">
        <v>4300.2853787745144</v>
      </c>
      <c r="J461">
        <v>2389.7146212254861</v>
      </c>
    </row>
    <row r="462" spans="1:10" x14ac:dyDescent="0.35">
      <c r="A462" s="1">
        <v>45569</v>
      </c>
      <c r="B462" t="s">
        <v>10</v>
      </c>
      <c r="C462" t="s">
        <v>17</v>
      </c>
      <c r="D462" t="s">
        <v>32</v>
      </c>
      <c r="F462">
        <v>902</v>
      </c>
      <c r="G462" t="s">
        <v>38</v>
      </c>
    </row>
    <row r="463" spans="1:10" x14ac:dyDescent="0.35">
      <c r="A463" s="1">
        <v>45640</v>
      </c>
      <c r="B463" t="s">
        <v>12</v>
      </c>
      <c r="C463" t="s">
        <v>17</v>
      </c>
      <c r="D463" t="s">
        <v>30</v>
      </c>
      <c r="E463">
        <v>1</v>
      </c>
      <c r="F463">
        <v>944</v>
      </c>
      <c r="G463" t="s">
        <v>38</v>
      </c>
      <c r="H463">
        <v>944</v>
      </c>
      <c r="I463">
        <v>809.99371846449537</v>
      </c>
      <c r="J463">
        <v>134.0062815355046</v>
      </c>
    </row>
    <row r="464" spans="1:10" x14ac:dyDescent="0.35">
      <c r="A464" s="1">
        <v>45538</v>
      </c>
      <c r="B464" t="s">
        <v>11</v>
      </c>
      <c r="C464" t="s">
        <v>22</v>
      </c>
      <c r="D464" t="s">
        <v>32</v>
      </c>
      <c r="E464">
        <v>19</v>
      </c>
      <c r="F464">
        <v>1303</v>
      </c>
      <c r="G464" t="s">
        <v>40</v>
      </c>
      <c r="H464">
        <v>24757</v>
      </c>
      <c r="I464">
        <v>20168.120182476261</v>
      </c>
      <c r="J464">
        <v>4588.8798175237389</v>
      </c>
    </row>
    <row r="465" spans="1:10" x14ac:dyDescent="0.35">
      <c r="A465" s="1">
        <v>45367</v>
      </c>
      <c r="B465" t="s">
        <v>12</v>
      </c>
      <c r="C465" t="s">
        <v>18</v>
      </c>
      <c r="D465" t="s">
        <v>33</v>
      </c>
      <c r="E465">
        <v>1</v>
      </c>
      <c r="F465">
        <v>1538</v>
      </c>
      <c r="G465" t="s">
        <v>39</v>
      </c>
      <c r="H465">
        <v>1538</v>
      </c>
      <c r="I465">
        <v>1339.5403211473431</v>
      </c>
      <c r="J465">
        <v>198.45967885265671</v>
      </c>
    </row>
    <row r="466" spans="1:10" x14ac:dyDescent="0.35">
      <c r="A466" s="1">
        <v>45445</v>
      </c>
      <c r="B466" t="s">
        <v>11</v>
      </c>
      <c r="C466" t="s">
        <v>20</v>
      </c>
      <c r="D466" t="s">
        <v>31</v>
      </c>
      <c r="E466">
        <v>16</v>
      </c>
      <c r="F466">
        <v>1993</v>
      </c>
      <c r="G466" t="s">
        <v>38</v>
      </c>
      <c r="H466">
        <v>31888</v>
      </c>
      <c r="I466">
        <v>20732.274619343982</v>
      </c>
      <c r="J466">
        <v>11155.72538065602</v>
      </c>
    </row>
    <row r="467" spans="1:10" x14ac:dyDescent="0.35">
      <c r="A467" s="1">
        <v>45435</v>
      </c>
      <c r="B467" t="s">
        <v>13</v>
      </c>
      <c r="C467" t="s">
        <v>24</v>
      </c>
      <c r="D467" t="s">
        <v>34</v>
      </c>
      <c r="E467">
        <v>12</v>
      </c>
      <c r="F467">
        <v>1358</v>
      </c>
      <c r="G467" t="s">
        <v>40</v>
      </c>
      <c r="H467">
        <v>16296</v>
      </c>
      <c r="I467">
        <v>12107.024364581799</v>
      </c>
      <c r="J467">
        <v>4188.9756354181955</v>
      </c>
    </row>
    <row r="468" spans="1:10" x14ac:dyDescent="0.35">
      <c r="A468" s="1">
        <v>45377</v>
      </c>
      <c r="B468" t="s">
        <v>10</v>
      </c>
      <c r="C468" t="s">
        <v>22</v>
      </c>
      <c r="D468" t="s">
        <v>37</v>
      </c>
      <c r="E468">
        <v>8</v>
      </c>
      <c r="F468">
        <v>954</v>
      </c>
      <c r="G468" t="s">
        <v>40</v>
      </c>
      <c r="H468">
        <v>7632</v>
      </c>
      <c r="I468">
        <v>5999.0027845041932</v>
      </c>
      <c r="J468">
        <v>1632.997215495807</v>
      </c>
    </row>
    <row r="469" spans="1:10" x14ac:dyDescent="0.35">
      <c r="A469" s="1">
        <v>45476</v>
      </c>
      <c r="B469" t="s">
        <v>11</v>
      </c>
      <c r="C469" t="s">
        <v>20</v>
      </c>
      <c r="D469" t="s">
        <v>30</v>
      </c>
      <c r="E469">
        <v>16</v>
      </c>
      <c r="G469" t="s">
        <v>38</v>
      </c>
    </row>
    <row r="470" spans="1:10" x14ac:dyDescent="0.35">
      <c r="A470" s="1">
        <v>45576</v>
      </c>
      <c r="B470" t="s">
        <v>11</v>
      </c>
      <c r="D470" t="s">
        <v>30</v>
      </c>
      <c r="E470">
        <v>1</v>
      </c>
      <c r="F470">
        <v>1943</v>
      </c>
      <c r="G470" t="s">
        <v>39</v>
      </c>
      <c r="H470">
        <v>1943</v>
      </c>
      <c r="I470">
        <v>1667.7007607353789</v>
      </c>
      <c r="J470">
        <v>275.29923926462061</v>
      </c>
    </row>
    <row r="471" spans="1:10" x14ac:dyDescent="0.35">
      <c r="A471" s="1">
        <v>45511</v>
      </c>
      <c r="B471" t="s">
        <v>11</v>
      </c>
      <c r="C471" t="s">
        <v>22</v>
      </c>
      <c r="D471" t="s">
        <v>33</v>
      </c>
      <c r="E471">
        <v>4</v>
      </c>
      <c r="F471">
        <v>1203</v>
      </c>
      <c r="G471" t="s">
        <v>40</v>
      </c>
      <c r="H471">
        <v>4812</v>
      </c>
      <c r="I471">
        <v>3198.572058805657</v>
      </c>
      <c r="J471">
        <v>1613.427941194343</v>
      </c>
    </row>
    <row r="472" spans="1:10" x14ac:dyDescent="0.35">
      <c r="A472" s="1">
        <v>45360</v>
      </c>
      <c r="B472" t="s">
        <v>11</v>
      </c>
      <c r="C472" t="s">
        <v>21</v>
      </c>
      <c r="D472" t="s">
        <v>32</v>
      </c>
      <c r="E472">
        <v>10</v>
      </c>
      <c r="F472">
        <v>1770</v>
      </c>
      <c r="G472" t="s">
        <v>40</v>
      </c>
      <c r="H472">
        <v>17700</v>
      </c>
      <c r="I472">
        <v>11552.66875078138</v>
      </c>
      <c r="J472">
        <v>6147.3312492186196</v>
      </c>
    </row>
    <row r="473" spans="1:10" x14ac:dyDescent="0.35">
      <c r="A473" s="1">
        <v>45338</v>
      </c>
      <c r="B473" t="s">
        <v>10</v>
      </c>
      <c r="C473" t="s">
        <v>22</v>
      </c>
      <c r="D473" t="s">
        <v>34</v>
      </c>
      <c r="E473">
        <v>11</v>
      </c>
      <c r="F473">
        <v>121</v>
      </c>
      <c r="G473" t="s">
        <v>40</v>
      </c>
      <c r="H473">
        <v>1331</v>
      </c>
      <c r="I473">
        <v>899.77407292678004</v>
      </c>
      <c r="J473">
        <v>431.22592707322002</v>
      </c>
    </row>
    <row r="474" spans="1:10" x14ac:dyDescent="0.35">
      <c r="A474" s="1">
        <v>45385</v>
      </c>
      <c r="B474" t="s">
        <v>10</v>
      </c>
      <c r="C474" t="s">
        <v>17</v>
      </c>
      <c r="D474" t="s">
        <v>33</v>
      </c>
      <c r="E474">
        <v>17</v>
      </c>
      <c r="F474">
        <v>1600</v>
      </c>
      <c r="G474" t="s">
        <v>38</v>
      </c>
      <c r="H474">
        <v>27200</v>
      </c>
      <c r="I474">
        <v>23595.048403209021</v>
      </c>
      <c r="J474">
        <v>3604.9515967909761</v>
      </c>
    </row>
    <row r="475" spans="1:10" x14ac:dyDescent="0.35">
      <c r="A475" s="1">
        <v>45529</v>
      </c>
      <c r="B475" t="s">
        <v>13</v>
      </c>
      <c r="C475" t="s">
        <v>20</v>
      </c>
      <c r="D475" t="s">
        <v>31</v>
      </c>
      <c r="E475">
        <v>7</v>
      </c>
      <c r="F475">
        <v>942</v>
      </c>
      <c r="G475" t="s">
        <v>38</v>
      </c>
      <c r="H475">
        <v>6594</v>
      </c>
      <c r="I475">
        <v>5817.939774913214</v>
      </c>
      <c r="J475">
        <v>776.06022508678598</v>
      </c>
    </row>
    <row r="476" spans="1:10" x14ac:dyDescent="0.35">
      <c r="A476" s="1">
        <v>45495</v>
      </c>
      <c r="B476" t="s">
        <v>10</v>
      </c>
      <c r="C476" t="s">
        <v>24</v>
      </c>
      <c r="D476" t="s">
        <v>34</v>
      </c>
      <c r="E476">
        <v>12</v>
      </c>
      <c r="F476">
        <v>1563</v>
      </c>
      <c r="G476" t="s">
        <v>40</v>
      </c>
      <c r="H476">
        <v>18756</v>
      </c>
      <c r="I476">
        <v>14458.79467070642</v>
      </c>
      <c r="J476">
        <v>4297.2053292935798</v>
      </c>
    </row>
    <row r="477" spans="1:10" x14ac:dyDescent="0.35">
      <c r="A477" s="1">
        <v>45509</v>
      </c>
      <c r="B477" t="s">
        <v>11</v>
      </c>
      <c r="C477" t="s">
        <v>24</v>
      </c>
      <c r="D477" t="s">
        <v>31</v>
      </c>
      <c r="E477">
        <v>7</v>
      </c>
      <c r="F477">
        <v>1860</v>
      </c>
      <c r="G477" t="s">
        <v>40</v>
      </c>
      <c r="H477">
        <v>13020</v>
      </c>
      <c r="I477">
        <v>9770.3587764324511</v>
      </c>
      <c r="J477">
        <v>3249.6412235675489</v>
      </c>
    </row>
    <row r="478" spans="1:10" x14ac:dyDescent="0.35">
      <c r="A478" s="1">
        <v>45632</v>
      </c>
      <c r="B478" t="s">
        <v>13</v>
      </c>
      <c r="C478" t="s">
        <v>20</v>
      </c>
      <c r="D478" t="s">
        <v>35</v>
      </c>
      <c r="E478">
        <v>12</v>
      </c>
      <c r="F478">
        <v>1693</v>
      </c>
      <c r="G478" t="s">
        <v>38</v>
      </c>
      <c r="H478">
        <v>20316</v>
      </c>
      <c r="I478">
        <v>15879.304203715539</v>
      </c>
      <c r="J478">
        <v>4436.6957962844608</v>
      </c>
    </row>
    <row r="479" spans="1:10" x14ac:dyDescent="0.35">
      <c r="A479" s="1">
        <v>45330</v>
      </c>
      <c r="B479" t="s">
        <v>13</v>
      </c>
      <c r="C479" t="s">
        <v>17</v>
      </c>
      <c r="D479" t="s">
        <v>36</v>
      </c>
      <c r="E479">
        <v>15</v>
      </c>
      <c r="F479">
        <v>1216</v>
      </c>
      <c r="G479" t="s">
        <v>38</v>
      </c>
      <c r="H479">
        <v>18240</v>
      </c>
      <c r="I479">
        <v>14316.435459961111</v>
      </c>
      <c r="J479">
        <v>3923.5645400388889</v>
      </c>
    </row>
    <row r="480" spans="1:10" x14ac:dyDescent="0.35">
      <c r="A480" s="1">
        <v>45391</v>
      </c>
      <c r="B480" t="s">
        <v>13</v>
      </c>
      <c r="C480" t="s">
        <v>19</v>
      </c>
      <c r="D480" t="s">
        <v>35</v>
      </c>
      <c r="E480">
        <v>2</v>
      </c>
      <c r="F480">
        <v>291</v>
      </c>
      <c r="G480" t="s">
        <v>40</v>
      </c>
      <c r="H480">
        <v>582</v>
      </c>
      <c r="I480">
        <v>378.93520148313428</v>
      </c>
      <c r="J480">
        <v>203.06479851686569</v>
      </c>
    </row>
    <row r="481" spans="1:10" x14ac:dyDescent="0.35">
      <c r="A481" s="1">
        <v>45580</v>
      </c>
      <c r="B481" t="s">
        <v>11</v>
      </c>
      <c r="C481" t="s">
        <v>22</v>
      </c>
      <c r="D481" t="s">
        <v>31</v>
      </c>
      <c r="E481">
        <v>14</v>
      </c>
      <c r="F481">
        <v>1118</v>
      </c>
      <c r="G481" t="s">
        <v>40</v>
      </c>
      <c r="H481">
        <v>15652</v>
      </c>
      <c r="I481">
        <v>12614.31093574957</v>
      </c>
      <c r="J481">
        <v>3037.68906425043</v>
      </c>
    </row>
    <row r="482" spans="1:10" x14ac:dyDescent="0.35">
      <c r="A482" s="1">
        <v>45545</v>
      </c>
      <c r="B482" t="s">
        <v>12</v>
      </c>
      <c r="C482" t="s">
        <v>17</v>
      </c>
      <c r="D482" t="s">
        <v>30</v>
      </c>
      <c r="E482">
        <v>13</v>
      </c>
      <c r="F482">
        <v>1226</v>
      </c>
      <c r="G482" t="s">
        <v>38</v>
      </c>
      <c r="H482">
        <v>15938</v>
      </c>
      <c r="I482">
        <v>11725.67156076876</v>
      </c>
      <c r="J482">
        <v>4212.328439231238</v>
      </c>
    </row>
    <row r="483" spans="1:10" x14ac:dyDescent="0.35">
      <c r="A483" s="1">
        <v>45513</v>
      </c>
      <c r="B483" t="s">
        <v>11</v>
      </c>
      <c r="C483" t="s">
        <v>21</v>
      </c>
      <c r="E483">
        <v>4</v>
      </c>
      <c r="F483">
        <v>495</v>
      </c>
      <c r="G483" t="s">
        <v>40</v>
      </c>
      <c r="H483">
        <v>1980</v>
      </c>
      <c r="I483">
        <v>1495.324883555739</v>
      </c>
      <c r="J483">
        <v>484.67511644426122</v>
      </c>
    </row>
    <row r="484" spans="1:10" x14ac:dyDescent="0.35">
      <c r="A484" s="1">
        <v>45648</v>
      </c>
      <c r="B484" t="s">
        <v>10</v>
      </c>
      <c r="C484" t="s">
        <v>18</v>
      </c>
      <c r="D484" t="s">
        <v>32</v>
      </c>
      <c r="E484">
        <v>14</v>
      </c>
      <c r="F484">
        <v>1130</v>
      </c>
      <c r="G484" t="s">
        <v>39</v>
      </c>
      <c r="H484">
        <v>15820</v>
      </c>
      <c r="I484">
        <v>9635.882604174647</v>
      </c>
      <c r="J484">
        <v>6184.117395825353</v>
      </c>
    </row>
    <row r="485" spans="1:10" x14ac:dyDescent="0.35">
      <c r="A485" s="1">
        <v>45314</v>
      </c>
      <c r="B485" t="s">
        <v>10</v>
      </c>
      <c r="C485" t="s">
        <v>23</v>
      </c>
      <c r="D485" t="s">
        <v>37</v>
      </c>
      <c r="E485">
        <v>14</v>
      </c>
      <c r="F485">
        <v>739</v>
      </c>
      <c r="G485" t="s">
        <v>39</v>
      </c>
      <c r="H485">
        <v>10346</v>
      </c>
      <c r="I485">
        <v>8580.6308760498123</v>
      </c>
      <c r="J485">
        <v>1765.3691239501879</v>
      </c>
    </row>
    <row r="486" spans="1:10" x14ac:dyDescent="0.35">
      <c r="A486" s="1">
        <v>45541</v>
      </c>
      <c r="B486" t="s">
        <v>11</v>
      </c>
      <c r="D486" t="s">
        <v>32</v>
      </c>
      <c r="E486">
        <v>16</v>
      </c>
      <c r="F486">
        <v>1118</v>
      </c>
      <c r="G486" t="s">
        <v>38</v>
      </c>
      <c r="H486">
        <v>17888</v>
      </c>
      <c r="I486">
        <v>15216.04061134796</v>
      </c>
      <c r="J486">
        <v>2671.9593886520402</v>
      </c>
    </row>
    <row r="487" spans="1:10" x14ac:dyDescent="0.35">
      <c r="A487" s="1">
        <v>45301</v>
      </c>
      <c r="B487" t="s">
        <v>11</v>
      </c>
      <c r="C487" t="s">
        <v>18</v>
      </c>
      <c r="D487" t="s">
        <v>34</v>
      </c>
      <c r="E487">
        <v>7</v>
      </c>
      <c r="F487">
        <v>666</v>
      </c>
      <c r="G487" t="s">
        <v>39</v>
      </c>
      <c r="H487">
        <v>4662</v>
      </c>
      <c r="I487">
        <v>3663.5229853328569</v>
      </c>
      <c r="J487">
        <v>998.47701466714307</v>
      </c>
    </row>
    <row r="488" spans="1:10" x14ac:dyDescent="0.35">
      <c r="A488" s="1">
        <v>45537</v>
      </c>
      <c r="B488" t="s">
        <v>13</v>
      </c>
      <c r="C488" t="s">
        <v>22</v>
      </c>
      <c r="D488" t="s">
        <v>35</v>
      </c>
      <c r="E488">
        <v>19</v>
      </c>
      <c r="F488">
        <v>330</v>
      </c>
      <c r="G488" t="s">
        <v>40</v>
      </c>
      <c r="H488">
        <v>6270</v>
      </c>
      <c r="I488">
        <v>5170.3491579930223</v>
      </c>
      <c r="J488">
        <v>1099.6508420069781</v>
      </c>
    </row>
    <row r="489" spans="1:10" x14ac:dyDescent="0.35">
      <c r="A489" s="1">
        <v>45616</v>
      </c>
      <c r="B489" t="s">
        <v>11</v>
      </c>
      <c r="C489" t="s">
        <v>24</v>
      </c>
      <c r="D489" t="s">
        <v>37</v>
      </c>
      <c r="E489">
        <v>2</v>
      </c>
      <c r="F489">
        <v>973</v>
      </c>
      <c r="G489" t="s">
        <v>40</v>
      </c>
      <c r="H489">
        <v>1946</v>
      </c>
      <c r="I489">
        <v>1472.7557646518731</v>
      </c>
      <c r="J489">
        <v>473.24423534812689</v>
      </c>
    </row>
    <row r="490" spans="1:10" x14ac:dyDescent="0.35">
      <c r="A490" s="1">
        <v>45391</v>
      </c>
      <c r="B490" t="s">
        <v>13</v>
      </c>
      <c r="C490" t="s">
        <v>23</v>
      </c>
      <c r="E490">
        <v>10</v>
      </c>
      <c r="F490">
        <v>673</v>
      </c>
      <c r="G490" t="s">
        <v>39</v>
      </c>
      <c r="H490">
        <v>6730</v>
      </c>
      <c r="I490">
        <v>5286.4554721577033</v>
      </c>
      <c r="J490">
        <v>1443.5445278422969</v>
      </c>
    </row>
    <row r="491" spans="1:10" x14ac:dyDescent="0.35">
      <c r="A491" s="1">
        <v>45581</v>
      </c>
      <c r="B491" t="s">
        <v>10</v>
      </c>
      <c r="C491" t="s">
        <v>18</v>
      </c>
      <c r="D491" t="s">
        <v>31</v>
      </c>
      <c r="E491">
        <v>18</v>
      </c>
      <c r="F491">
        <v>339</v>
      </c>
      <c r="G491" t="s">
        <v>39</v>
      </c>
      <c r="H491">
        <v>6102</v>
      </c>
      <c r="I491">
        <v>4383.502951206804</v>
      </c>
      <c r="J491">
        <v>1718.497048793196</v>
      </c>
    </row>
    <row r="492" spans="1:10" x14ac:dyDescent="0.35">
      <c r="A492" s="1">
        <v>45471</v>
      </c>
      <c r="B492" t="s">
        <v>13</v>
      </c>
      <c r="D492" t="s">
        <v>30</v>
      </c>
      <c r="E492">
        <v>17</v>
      </c>
      <c r="F492">
        <v>189</v>
      </c>
      <c r="G492" t="s">
        <v>40</v>
      </c>
      <c r="H492">
        <v>3213</v>
      </c>
      <c r="I492">
        <v>2691.087604093756</v>
      </c>
      <c r="J492">
        <v>521.912395906244</v>
      </c>
    </row>
    <row r="493" spans="1:10" x14ac:dyDescent="0.35">
      <c r="A493" s="1">
        <v>45514</v>
      </c>
      <c r="B493" t="s">
        <v>11</v>
      </c>
      <c r="C493" t="s">
        <v>18</v>
      </c>
      <c r="D493" t="s">
        <v>32</v>
      </c>
      <c r="E493">
        <v>5</v>
      </c>
      <c r="F493">
        <v>331</v>
      </c>
      <c r="G493" t="s">
        <v>39</v>
      </c>
      <c r="H493">
        <v>1655</v>
      </c>
      <c r="I493">
        <v>1225.496516876321</v>
      </c>
      <c r="J493">
        <v>429.50348312367942</v>
      </c>
    </row>
    <row r="494" spans="1:10" x14ac:dyDescent="0.35">
      <c r="A494" s="1">
        <v>45541</v>
      </c>
      <c r="B494" t="s">
        <v>10</v>
      </c>
      <c r="C494" t="s">
        <v>21</v>
      </c>
      <c r="D494" t="s">
        <v>31</v>
      </c>
      <c r="E494">
        <v>12</v>
      </c>
      <c r="F494">
        <v>556</v>
      </c>
      <c r="G494" t="s">
        <v>40</v>
      </c>
      <c r="H494">
        <v>6672</v>
      </c>
      <c r="I494">
        <v>5364.7141494848356</v>
      </c>
      <c r="J494">
        <v>1307.2858505151639</v>
      </c>
    </row>
    <row r="495" spans="1:10" x14ac:dyDescent="0.35">
      <c r="A495" s="1">
        <v>45438</v>
      </c>
      <c r="B495" t="s">
        <v>12</v>
      </c>
      <c r="C495" t="s">
        <v>24</v>
      </c>
      <c r="D495" t="s">
        <v>37</v>
      </c>
      <c r="E495">
        <v>6</v>
      </c>
      <c r="F495">
        <v>332</v>
      </c>
      <c r="G495" t="s">
        <v>40</v>
      </c>
      <c r="H495">
        <v>1992</v>
      </c>
      <c r="I495">
        <v>1566.5661966630159</v>
      </c>
      <c r="J495">
        <v>425.43380333698411</v>
      </c>
    </row>
    <row r="496" spans="1:10" x14ac:dyDescent="0.35">
      <c r="A496" s="1">
        <v>45387</v>
      </c>
      <c r="B496" t="s">
        <v>13</v>
      </c>
      <c r="C496" t="s">
        <v>20</v>
      </c>
      <c r="D496" t="s">
        <v>37</v>
      </c>
      <c r="E496">
        <v>9</v>
      </c>
      <c r="F496">
        <v>453</v>
      </c>
      <c r="G496" t="s">
        <v>38</v>
      </c>
      <c r="H496">
        <v>4077</v>
      </c>
      <c r="I496">
        <v>3305.2008874376102</v>
      </c>
      <c r="J496">
        <v>771.79911256238984</v>
      </c>
    </row>
    <row r="497" spans="1:10" x14ac:dyDescent="0.35">
      <c r="A497" s="1">
        <v>45548</v>
      </c>
      <c r="B497" t="s">
        <v>10</v>
      </c>
      <c r="C497" t="s">
        <v>22</v>
      </c>
      <c r="D497" t="s">
        <v>32</v>
      </c>
      <c r="E497">
        <v>1</v>
      </c>
      <c r="F497">
        <v>1104</v>
      </c>
      <c r="G497" t="s">
        <v>40</v>
      </c>
      <c r="H497">
        <v>1104</v>
      </c>
      <c r="I497">
        <v>922.46349784147401</v>
      </c>
      <c r="J497">
        <v>181.53650215852599</v>
      </c>
    </row>
    <row r="498" spans="1:10" x14ac:dyDescent="0.35">
      <c r="A498" s="1">
        <v>45616</v>
      </c>
      <c r="B498" t="s">
        <v>13</v>
      </c>
      <c r="C498" t="s">
        <v>20</v>
      </c>
      <c r="D498" t="s">
        <v>31</v>
      </c>
      <c r="E498">
        <v>15</v>
      </c>
      <c r="F498">
        <v>1456</v>
      </c>
      <c r="G498" t="s">
        <v>38</v>
      </c>
      <c r="H498">
        <v>21840</v>
      </c>
      <c r="I498">
        <v>16463.29873139731</v>
      </c>
      <c r="J498">
        <v>5376.7012686026937</v>
      </c>
    </row>
    <row r="499" spans="1:10" x14ac:dyDescent="0.35">
      <c r="A499" s="1">
        <v>45295</v>
      </c>
      <c r="B499" t="s">
        <v>10</v>
      </c>
      <c r="C499" t="s">
        <v>23</v>
      </c>
      <c r="D499" t="s">
        <v>33</v>
      </c>
      <c r="E499">
        <v>6</v>
      </c>
      <c r="F499">
        <v>538</v>
      </c>
      <c r="G499" t="s">
        <v>39</v>
      </c>
      <c r="H499">
        <v>3228</v>
      </c>
      <c r="I499">
        <v>2724.17306525919</v>
      </c>
      <c r="J499">
        <v>503.82693474081037</v>
      </c>
    </row>
    <row r="500" spans="1:10" x14ac:dyDescent="0.35">
      <c r="A500" s="1">
        <v>45307</v>
      </c>
      <c r="B500" t="s">
        <v>10</v>
      </c>
      <c r="C500" t="s">
        <v>22</v>
      </c>
      <c r="D500" t="s">
        <v>31</v>
      </c>
      <c r="E500">
        <v>19</v>
      </c>
      <c r="F500">
        <v>1498</v>
      </c>
      <c r="G500" t="s">
        <v>40</v>
      </c>
      <c r="H500">
        <v>28462</v>
      </c>
      <c r="I500">
        <v>21323.08064616736</v>
      </c>
      <c r="J500">
        <v>7138.9193538326363</v>
      </c>
    </row>
    <row r="501" spans="1:10" x14ac:dyDescent="0.35">
      <c r="A501" s="1">
        <v>45571</v>
      </c>
      <c r="B501" t="s">
        <v>13</v>
      </c>
      <c r="C501" t="s">
        <v>17</v>
      </c>
      <c r="D501" t="s">
        <v>37</v>
      </c>
      <c r="E501">
        <v>18</v>
      </c>
      <c r="G501" t="s">
        <v>38</v>
      </c>
    </row>
    <row r="502" spans="1:10" x14ac:dyDescent="0.35">
      <c r="A502" s="1">
        <v>45627</v>
      </c>
      <c r="B502" t="s">
        <v>12</v>
      </c>
      <c r="C502" t="s">
        <v>19</v>
      </c>
      <c r="E502">
        <v>6</v>
      </c>
      <c r="F502">
        <v>444</v>
      </c>
      <c r="G502" t="s">
        <v>40</v>
      </c>
      <c r="H502">
        <v>2664</v>
      </c>
      <c r="I502">
        <v>2199.9352614929439</v>
      </c>
      <c r="J502">
        <v>464.06473850705612</v>
      </c>
    </row>
    <row r="503" spans="1:10" x14ac:dyDescent="0.35">
      <c r="A503" s="1">
        <v>45538</v>
      </c>
      <c r="B503" t="s">
        <v>10</v>
      </c>
      <c r="C503" t="s">
        <v>17</v>
      </c>
      <c r="D503" t="s">
        <v>30</v>
      </c>
      <c r="E503">
        <v>13</v>
      </c>
      <c r="F503">
        <v>763</v>
      </c>
      <c r="G503" t="s">
        <v>38</v>
      </c>
      <c r="H503">
        <v>9919</v>
      </c>
      <c r="I503">
        <v>6460.6662071493629</v>
      </c>
      <c r="J503">
        <v>3458.3337928506371</v>
      </c>
    </row>
    <row r="504" spans="1:10" x14ac:dyDescent="0.35">
      <c r="A504" s="1">
        <v>45549</v>
      </c>
      <c r="B504" t="s">
        <v>10</v>
      </c>
      <c r="C504" t="s">
        <v>17</v>
      </c>
      <c r="D504" t="s">
        <v>34</v>
      </c>
      <c r="E504">
        <v>1</v>
      </c>
      <c r="F504">
        <v>1551</v>
      </c>
      <c r="G504" t="s">
        <v>38</v>
      </c>
      <c r="H504">
        <v>1551</v>
      </c>
      <c r="I504">
        <v>1316.605654525405</v>
      </c>
      <c r="J504">
        <v>234.39434547459541</v>
      </c>
    </row>
    <row r="505" spans="1:10" x14ac:dyDescent="0.35">
      <c r="A505" s="1">
        <v>45451</v>
      </c>
      <c r="B505" t="s">
        <v>10</v>
      </c>
      <c r="C505" t="s">
        <v>20</v>
      </c>
      <c r="D505" t="s">
        <v>35</v>
      </c>
      <c r="E505">
        <v>13</v>
      </c>
      <c r="F505">
        <v>756</v>
      </c>
      <c r="G505" t="s">
        <v>38</v>
      </c>
      <c r="H505">
        <v>9828</v>
      </c>
      <c r="I505">
        <v>7523.1010591222803</v>
      </c>
      <c r="J505">
        <v>2304.8989408777202</v>
      </c>
    </row>
    <row r="506" spans="1:10" x14ac:dyDescent="0.35">
      <c r="A506" s="1">
        <v>45631</v>
      </c>
      <c r="B506" t="s">
        <v>12</v>
      </c>
      <c r="C506" t="s">
        <v>23</v>
      </c>
      <c r="D506" t="s">
        <v>30</v>
      </c>
      <c r="E506">
        <v>7</v>
      </c>
      <c r="F506">
        <v>229</v>
      </c>
      <c r="G506" t="s">
        <v>39</v>
      </c>
      <c r="H506">
        <v>1603</v>
      </c>
      <c r="I506">
        <v>1435.2272746896319</v>
      </c>
      <c r="J506">
        <v>167.77272531036809</v>
      </c>
    </row>
    <row r="507" spans="1:10" x14ac:dyDescent="0.35">
      <c r="A507" s="1">
        <v>45443</v>
      </c>
      <c r="B507" t="s">
        <v>12</v>
      </c>
      <c r="C507" t="s">
        <v>19</v>
      </c>
      <c r="D507" t="s">
        <v>33</v>
      </c>
      <c r="E507">
        <v>15</v>
      </c>
      <c r="F507">
        <v>240</v>
      </c>
      <c r="G507" t="s">
        <v>40</v>
      </c>
      <c r="H507">
        <v>3600</v>
      </c>
      <c r="I507">
        <v>2936.3245671674099</v>
      </c>
      <c r="J507">
        <v>663.6754328325901</v>
      </c>
    </row>
    <row r="508" spans="1:10" x14ac:dyDescent="0.35">
      <c r="A508" s="1">
        <v>45469</v>
      </c>
      <c r="B508" t="s">
        <v>11</v>
      </c>
      <c r="C508" t="s">
        <v>18</v>
      </c>
      <c r="D508" t="s">
        <v>36</v>
      </c>
      <c r="E508">
        <v>12</v>
      </c>
      <c r="F508">
        <v>514</v>
      </c>
      <c r="G508" t="s">
        <v>39</v>
      </c>
      <c r="H508">
        <v>6168</v>
      </c>
      <c r="I508">
        <v>3856.9566374534811</v>
      </c>
      <c r="J508">
        <v>2311.0433625465189</v>
      </c>
    </row>
    <row r="509" spans="1:10" x14ac:dyDescent="0.35">
      <c r="A509" s="1">
        <v>45454</v>
      </c>
      <c r="B509" t="s">
        <v>13</v>
      </c>
      <c r="C509" t="s">
        <v>22</v>
      </c>
      <c r="D509" t="s">
        <v>34</v>
      </c>
      <c r="E509">
        <v>1</v>
      </c>
      <c r="F509">
        <v>1216</v>
      </c>
      <c r="G509" t="s">
        <v>40</v>
      </c>
      <c r="H509">
        <v>1216</v>
      </c>
      <c r="I509">
        <v>873.68156399225518</v>
      </c>
      <c r="J509">
        <v>342.31843600774482</v>
      </c>
    </row>
    <row r="510" spans="1:10" x14ac:dyDescent="0.35">
      <c r="A510" s="1">
        <v>45324</v>
      </c>
      <c r="B510" t="s">
        <v>12</v>
      </c>
      <c r="C510" t="s">
        <v>22</v>
      </c>
      <c r="D510" t="s">
        <v>35</v>
      </c>
      <c r="E510">
        <v>15</v>
      </c>
      <c r="F510">
        <v>725</v>
      </c>
      <c r="G510" t="s">
        <v>40</v>
      </c>
      <c r="H510">
        <v>10875</v>
      </c>
      <c r="I510">
        <v>8212.6110012215322</v>
      </c>
      <c r="J510">
        <v>2662.3889987784678</v>
      </c>
    </row>
    <row r="511" spans="1:10" x14ac:dyDescent="0.35">
      <c r="A511" s="1">
        <v>45470</v>
      </c>
      <c r="B511" t="s">
        <v>13</v>
      </c>
      <c r="C511" t="s">
        <v>21</v>
      </c>
      <c r="D511" t="s">
        <v>36</v>
      </c>
      <c r="E511">
        <v>4</v>
      </c>
      <c r="F511">
        <v>383</v>
      </c>
      <c r="G511" t="s">
        <v>40</v>
      </c>
      <c r="H511">
        <v>1532</v>
      </c>
      <c r="I511">
        <v>1304.8106520122451</v>
      </c>
      <c r="J511">
        <v>227.1893479877551</v>
      </c>
    </row>
    <row r="512" spans="1:10" x14ac:dyDescent="0.35">
      <c r="A512" s="1">
        <v>45392</v>
      </c>
      <c r="B512" t="s">
        <v>11</v>
      </c>
      <c r="C512" t="s">
        <v>24</v>
      </c>
      <c r="D512" t="s">
        <v>32</v>
      </c>
      <c r="E512">
        <v>13</v>
      </c>
      <c r="F512">
        <v>1778</v>
      </c>
      <c r="G512" t="s">
        <v>40</v>
      </c>
      <c r="H512">
        <v>23114</v>
      </c>
      <c r="I512">
        <v>18925.82780414951</v>
      </c>
      <c r="J512">
        <v>4188.1721958504904</v>
      </c>
    </row>
    <row r="513" spans="1:10" x14ac:dyDescent="0.35">
      <c r="A513" s="1">
        <v>45559</v>
      </c>
      <c r="B513" t="s">
        <v>13</v>
      </c>
      <c r="C513" t="s">
        <v>21</v>
      </c>
      <c r="E513">
        <v>5</v>
      </c>
      <c r="F513">
        <v>322</v>
      </c>
      <c r="G513" t="s">
        <v>40</v>
      </c>
      <c r="H513">
        <v>1610</v>
      </c>
      <c r="I513">
        <v>1144.400914105421</v>
      </c>
      <c r="J513">
        <v>465.59908589457859</v>
      </c>
    </row>
    <row r="514" spans="1:10" x14ac:dyDescent="0.35">
      <c r="A514" s="1">
        <v>45614</v>
      </c>
      <c r="B514" t="s">
        <v>12</v>
      </c>
      <c r="C514" t="s">
        <v>18</v>
      </c>
      <c r="D514" t="s">
        <v>34</v>
      </c>
      <c r="E514">
        <v>2</v>
      </c>
      <c r="F514">
        <v>843</v>
      </c>
      <c r="G514" t="s">
        <v>39</v>
      </c>
      <c r="H514">
        <v>1686</v>
      </c>
      <c r="I514">
        <v>1342.1062533388299</v>
      </c>
      <c r="J514">
        <v>343.89374666117033</v>
      </c>
    </row>
    <row r="515" spans="1:10" x14ac:dyDescent="0.35">
      <c r="A515" s="1">
        <v>45356</v>
      </c>
      <c r="B515" t="s">
        <v>13</v>
      </c>
      <c r="C515" t="s">
        <v>21</v>
      </c>
      <c r="D515" t="s">
        <v>31</v>
      </c>
      <c r="E515">
        <v>1</v>
      </c>
      <c r="F515">
        <v>562</v>
      </c>
      <c r="G515" t="s">
        <v>40</v>
      </c>
      <c r="H515">
        <v>562</v>
      </c>
      <c r="I515">
        <v>434.46717907166669</v>
      </c>
      <c r="J515">
        <v>127.53282092833329</v>
      </c>
    </row>
    <row r="516" spans="1:10" x14ac:dyDescent="0.35">
      <c r="A516" s="1">
        <v>45459</v>
      </c>
      <c r="B516" t="s">
        <v>12</v>
      </c>
      <c r="C516" t="s">
        <v>22</v>
      </c>
      <c r="D516" t="s">
        <v>34</v>
      </c>
      <c r="E516">
        <v>16</v>
      </c>
      <c r="F516">
        <v>1668</v>
      </c>
      <c r="G516" t="s">
        <v>40</v>
      </c>
      <c r="H516">
        <v>26688</v>
      </c>
      <c r="I516">
        <v>17022.027608316552</v>
      </c>
      <c r="J516">
        <v>9665.9723916834519</v>
      </c>
    </row>
    <row r="517" spans="1:10" x14ac:dyDescent="0.35">
      <c r="A517" s="1">
        <v>45621</v>
      </c>
      <c r="B517" t="s">
        <v>13</v>
      </c>
      <c r="C517" t="s">
        <v>20</v>
      </c>
      <c r="D517" t="s">
        <v>30</v>
      </c>
      <c r="E517">
        <v>6</v>
      </c>
      <c r="F517">
        <v>1399</v>
      </c>
      <c r="G517" t="s">
        <v>38</v>
      </c>
      <c r="H517">
        <v>8394</v>
      </c>
      <c r="I517">
        <v>5627.8211607090752</v>
      </c>
      <c r="J517">
        <v>2766.1788392909252</v>
      </c>
    </row>
    <row r="518" spans="1:10" x14ac:dyDescent="0.35">
      <c r="A518" s="1">
        <v>45334</v>
      </c>
      <c r="B518" t="s">
        <v>12</v>
      </c>
      <c r="C518" t="s">
        <v>17</v>
      </c>
      <c r="D518" t="s">
        <v>36</v>
      </c>
      <c r="E518">
        <v>16</v>
      </c>
      <c r="F518">
        <v>1805</v>
      </c>
      <c r="G518" t="s">
        <v>38</v>
      </c>
      <c r="H518">
        <v>28880</v>
      </c>
      <c r="I518">
        <v>20283.483717356819</v>
      </c>
      <c r="J518">
        <v>8596.5162826431806</v>
      </c>
    </row>
    <row r="519" spans="1:10" x14ac:dyDescent="0.35">
      <c r="A519" s="1">
        <v>45335</v>
      </c>
      <c r="B519" t="s">
        <v>12</v>
      </c>
      <c r="C519" t="s">
        <v>23</v>
      </c>
      <c r="D519" t="s">
        <v>37</v>
      </c>
      <c r="E519">
        <v>14</v>
      </c>
      <c r="F519">
        <v>1263</v>
      </c>
      <c r="G519" t="s">
        <v>39</v>
      </c>
      <c r="H519">
        <v>17682</v>
      </c>
      <c r="I519">
        <v>11646.16127739584</v>
      </c>
      <c r="J519">
        <v>6035.8387226041632</v>
      </c>
    </row>
    <row r="520" spans="1:10" x14ac:dyDescent="0.35">
      <c r="A520" s="1">
        <v>45576</v>
      </c>
      <c r="B520" t="s">
        <v>13</v>
      </c>
      <c r="C520" t="s">
        <v>17</v>
      </c>
      <c r="D520" t="s">
        <v>35</v>
      </c>
      <c r="E520">
        <v>3</v>
      </c>
      <c r="F520">
        <v>456</v>
      </c>
      <c r="G520" t="s">
        <v>38</v>
      </c>
      <c r="H520">
        <v>1368</v>
      </c>
      <c r="I520">
        <v>882.41493032864253</v>
      </c>
      <c r="J520">
        <v>485.58506967135747</v>
      </c>
    </row>
    <row r="521" spans="1:10" x14ac:dyDescent="0.35">
      <c r="A521" s="1">
        <v>45303</v>
      </c>
      <c r="B521" t="s">
        <v>11</v>
      </c>
      <c r="C521" t="s">
        <v>17</v>
      </c>
      <c r="D521" t="s">
        <v>35</v>
      </c>
      <c r="E521">
        <v>15</v>
      </c>
      <c r="F521">
        <v>1836</v>
      </c>
      <c r="G521" t="s">
        <v>38</v>
      </c>
      <c r="H521">
        <v>27540</v>
      </c>
      <c r="I521">
        <v>17004.829976816429</v>
      </c>
      <c r="J521">
        <v>10535.170023183569</v>
      </c>
    </row>
    <row r="522" spans="1:10" x14ac:dyDescent="0.35">
      <c r="A522" s="1">
        <v>45386</v>
      </c>
      <c r="B522" t="s">
        <v>10</v>
      </c>
      <c r="C522" t="s">
        <v>19</v>
      </c>
      <c r="D522" t="s">
        <v>36</v>
      </c>
      <c r="E522">
        <v>3</v>
      </c>
      <c r="F522">
        <v>1146</v>
      </c>
      <c r="G522" t="s">
        <v>40</v>
      </c>
      <c r="H522">
        <v>3438</v>
      </c>
      <c r="I522">
        <v>2963.317986169051</v>
      </c>
      <c r="J522">
        <v>474.68201383094947</v>
      </c>
    </row>
    <row r="523" spans="1:10" x14ac:dyDescent="0.35">
      <c r="A523" s="1">
        <v>45593</v>
      </c>
      <c r="B523" t="s">
        <v>11</v>
      </c>
      <c r="C523" t="s">
        <v>22</v>
      </c>
      <c r="D523" t="s">
        <v>35</v>
      </c>
      <c r="E523">
        <v>2</v>
      </c>
      <c r="F523">
        <v>1859</v>
      </c>
      <c r="G523" t="s">
        <v>40</v>
      </c>
      <c r="H523">
        <v>3718</v>
      </c>
      <c r="I523">
        <v>2553.0874883979982</v>
      </c>
      <c r="J523">
        <v>1164.912511602002</v>
      </c>
    </row>
    <row r="524" spans="1:10" x14ac:dyDescent="0.35">
      <c r="A524" s="1">
        <v>45544</v>
      </c>
      <c r="B524" t="s">
        <v>13</v>
      </c>
      <c r="C524" t="s">
        <v>18</v>
      </c>
      <c r="D524" t="s">
        <v>37</v>
      </c>
      <c r="E524">
        <v>1</v>
      </c>
      <c r="F524">
        <v>1393</v>
      </c>
      <c r="G524" t="s">
        <v>39</v>
      </c>
      <c r="H524">
        <v>1393</v>
      </c>
      <c r="I524">
        <v>957.12498038383728</v>
      </c>
      <c r="J524">
        <v>435.87501961616272</v>
      </c>
    </row>
    <row r="525" spans="1:10" x14ac:dyDescent="0.35">
      <c r="A525" s="1">
        <v>45533</v>
      </c>
      <c r="B525" t="s">
        <v>11</v>
      </c>
      <c r="C525" t="s">
        <v>18</v>
      </c>
      <c r="D525" t="s">
        <v>34</v>
      </c>
      <c r="E525">
        <v>9</v>
      </c>
      <c r="F525">
        <v>958</v>
      </c>
      <c r="G525" t="s">
        <v>39</v>
      </c>
      <c r="H525">
        <v>8622</v>
      </c>
      <c r="I525">
        <v>5706.6297002768406</v>
      </c>
      <c r="J525">
        <v>2915.370299723159</v>
      </c>
    </row>
    <row r="526" spans="1:10" x14ac:dyDescent="0.35">
      <c r="A526" s="1">
        <v>45326</v>
      </c>
      <c r="B526" t="s">
        <v>12</v>
      </c>
      <c r="C526" t="s">
        <v>23</v>
      </c>
      <c r="D526" t="s">
        <v>35</v>
      </c>
      <c r="E526">
        <v>9</v>
      </c>
      <c r="F526">
        <v>764</v>
      </c>
      <c r="G526" t="s">
        <v>39</v>
      </c>
      <c r="H526">
        <v>6876</v>
      </c>
      <c r="I526">
        <v>5106.2496986808173</v>
      </c>
      <c r="J526">
        <v>1769.7503013191831</v>
      </c>
    </row>
    <row r="527" spans="1:10" x14ac:dyDescent="0.35">
      <c r="A527" s="1">
        <v>45506</v>
      </c>
      <c r="B527" t="s">
        <v>10</v>
      </c>
      <c r="C527" t="s">
        <v>20</v>
      </c>
      <c r="D527" t="s">
        <v>36</v>
      </c>
      <c r="F527">
        <v>1456</v>
      </c>
      <c r="G527" t="s">
        <v>38</v>
      </c>
    </row>
    <row r="528" spans="1:10" x14ac:dyDescent="0.35">
      <c r="A528" s="1">
        <v>45628</v>
      </c>
      <c r="B528" t="s">
        <v>13</v>
      </c>
      <c r="C528" t="s">
        <v>19</v>
      </c>
      <c r="D528" t="s">
        <v>33</v>
      </c>
      <c r="E528">
        <v>3</v>
      </c>
      <c r="F528">
        <v>1114</v>
      </c>
      <c r="G528" t="s">
        <v>40</v>
      </c>
      <c r="H528">
        <v>3342</v>
      </c>
      <c r="I528">
        <v>2214.0228901575051</v>
      </c>
      <c r="J528">
        <v>1127.9771098424951</v>
      </c>
    </row>
    <row r="529" spans="1:10" x14ac:dyDescent="0.35">
      <c r="A529" s="1">
        <v>45381</v>
      </c>
      <c r="B529" t="s">
        <v>13</v>
      </c>
      <c r="C529" t="s">
        <v>24</v>
      </c>
      <c r="D529" t="s">
        <v>33</v>
      </c>
      <c r="E529">
        <v>18</v>
      </c>
      <c r="F529">
        <v>184</v>
      </c>
      <c r="G529" t="s">
        <v>40</v>
      </c>
      <c r="H529">
        <v>3312</v>
      </c>
      <c r="I529">
        <v>2591.875487701323</v>
      </c>
      <c r="J529">
        <v>720.12451229867702</v>
      </c>
    </row>
    <row r="530" spans="1:10" x14ac:dyDescent="0.35">
      <c r="A530" s="1">
        <v>45555</v>
      </c>
      <c r="B530" t="s">
        <v>13</v>
      </c>
      <c r="C530" t="s">
        <v>20</v>
      </c>
      <c r="D530" t="s">
        <v>32</v>
      </c>
      <c r="E530">
        <v>11</v>
      </c>
      <c r="F530">
        <v>720</v>
      </c>
      <c r="G530" t="s">
        <v>38</v>
      </c>
      <c r="H530">
        <v>7920</v>
      </c>
      <c r="I530">
        <v>6469.8479039947479</v>
      </c>
      <c r="J530">
        <v>1450.1520960052519</v>
      </c>
    </row>
    <row r="531" spans="1:10" x14ac:dyDescent="0.35">
      <c r="A531" s="1">
        <v>45384</v>
      </c>
      <c r="B531" t="s">
        <v>10</v>
      </c>
      <c r="C531" t="s">
        <v>21</v>
      </c>
      <c r="D531" t="s">
        <v>30</v>
      </c>
      <c r="E531">
        <v>7</v>
      </c>
      <c r="F531">
        <v>1154</v>
      </c>
      <c r="G531" t="s">
        <v>40</v>
      </c>
      <c r="H531">
        <v>8078</v>
      </c>
      <c r="I531">
        <v>5752.7640643286759</v>
      </c>
      <c r="J531">
        <v>2325.2359356713241</v>
      </c>
    </row>
    <row r="532" spans="1:10" x14ac:dyDescent="0.35">
      <c r="A532" s="1">
        <v>45381</v>
      </c>
      <c r="B532" t="s">
        <v>12</v>
      </c>
      <c r="C532" t="s">
        <v>20</v>
      </c>
      <c r="D532" t="s">
        <v>35</v>
      </c>
      <c r="E532">
        <v>9</v>
      </c>
      <c r="F532">
        <v>1864</v>
      </c>
      <c r="G532" t="s">
        <v>38</v>
      </c>
      <c r="H532">
        <v>16776</v>
      </c>
      <c r="I532">
        <v>13012.06129994412</v>
      </c>
      <c r="J532">
        <v>3763.9387000558841</v>
      </c>
    </row>
    <row r="533" spans="1:10" x14ac:dyDescent="0.35">
      <c r="A533" s="1">
        <v>45406</v>
      </c>
      <c r="B533" t="s">
        <v>13</v>
      </c>
      <c r="C533" t="s">
        <v>20</v>
      </c>
      <c r="D533" t="s">
        <v>30</v>
      </c>
      <c r="E533">
        <v>1</v>
      </c>
      <c r="F533">
        <v>339</v>
      </c>
      <c r="G533" t="s">
        <v>38</v>
      </c>
      <c r="H533">
        <v>339</v>
      </c>
      <c r="I533">
        <v>254.4841037552242</v>
      </c>
      <c r="J533">
        <v>84.515896244775803</v>
      </c>
    </row>
    <row r="534" spans="1:10" x14ac:dyDescent="0.35">
      <c r="A534" s="1">
        <v>45396</v>
      </c>
      <c r="B534" t="s">
        <v>11</v>
      </c>
      <c r="C534" t="s">
        <v>17</v>
      </c>
      <c r="D534" t="s">
        <v>34</v>
      </c>
      <c r="E534">
        <v>14</v>
      </c>
      <c r="F534">
        <v>462</v>
      </c>
      <c r="G534" t="s">
        <v>38</v>
      </c>
      <c r="H534">
        <v>6468</v>
      </c>
      <c r="I534">
        <v>4260.24211217018</v>
      </c>
      <c r="J534">
        <v>2207.75788782982</v>
      </c>
    </row>
    <row r="535" spans="1:10" x14ac:dyDescent="0.35">
      <c r="A535" s="1">
        <v>45487</v>
      </c>
      <c r="B535" t="s">
        <v>13</v>
      </c>
      <c r="C535" t="s">
        <v>20</v>
      </c>
      <c r="D535" t="s">
        <v>36</v>
      </c>
      <c r="E535">
        <v>6</v>
      </c>
      <c r="F535">
        <v>921</v>
      </c>
      <c r="G535" t="s">
        <v>38</v>
      </c>
      <c r="H535">
        <v>5526</v>
      </c>
      <c r="I535">
        <v>4525.8122171904952</v>
      </c>
      <c r="J535">
        <v>1000.1877828095051</v>
      </c>
    </row>
    <row r="536" spans="1:10" x14ac:dyDescent="0.35">
      <c r="A536" s="1">
        <v>45605</v>
      </c>
      <c r="B536" t="s">
        <v>13</v>
      </c>
      <c r="C536" t="s">
        <v>18</v>
      </c>
      <c r="D536" t="s">
        <v>35</v>
      </c>
      <c r="E536">
        <v>7</v>
      </c>
      <c r="F536">
        <v>1512</v>
      </c>
      <c r="G536" t="s">
        <v>39</v>
      </c>
      <c r="H536">
        <v>10584</v>
      </c>
      <c r="I536">
        <v>8895.1736539469148</v>
      </c>
      <c r="J536">
        <v>1688.826346053085</v>
      </c>
    </row>
    <row r="537" spans="1:10" x14ac:dyDescent="0.35">
      <c r="A537" s="1">
        <v>45405</v>
      </c>
      <c r="B537" t="s">
        <v>13</v>
      </c>
      <c r="C537" t="s">
        <v>21</v>
      </c>
      <c r="D537" t="s">
        <v>31</v>
      </c>
      <c r="E537">
        <v>10</v>
      </c>
      <c r="F537">
        <v>1776</v>
      </c>
      <c r="G537" t="s">
        <v>40</v>
      </c>
      <c r="H537">
        <v>17760</v>
      </c>
      <c r="I537">
        <v>14112.769719848429</v>
      </c>
      <c r="J537">
        <v>3647.2302801515712</v>
      </c>
    </row>
    <row r="538" spans="1:10" x14ac:dyDescent="0.35">
      <c r="A538" s="1">
        <v>45366</v>
      </c>
      <c r="B538" t="s">
        <v>50</v>
      </c>
      <c r="C538" t="s">
        <v>21</v>
      </c>
      <c r="D538" t="s">
        <v>37</v>
      </c>
      <c r="E538">
        <v>7</v>
      </c>
      <c r="F538">
        <v>767</v>
      </c>
      <c r="G538" t="s">
        <v>40</v>
      </c>
      <c r="H538">
        <v>5369</v>
      </c>
      <c r="I538">
        <v>3743.0993319308318</v>
      </c>
      <c r="J538">
        <v>1625.900668069168</v>
      </c>
    </row>
    <row r="539" spans="1:10" x14ac:dyDescent="0.35">
      <c r="A539" s="1">
        <v>45508</v>
      </c>
      <c r="B539" t="s">
        <v>12</v>
      </c>
      <c r="C539" t="s">
        <v>22</v>
      </c>
      <c r="D539" t="s">
        <v>35</v>
      </c>
      <c r="E539">
        <v>2</v>
      </c>
      <c r="F539">
        <v>1422</v>
      </c>
      <c r="G539" t="s">
        <v>40</v>
      </c>
      <c r="H539">
        <v>2844</v>
      </c>
      <c r="I539">
        <v>2497.1393562300159</v>
      </c>
      <c r="J539">
        <v>346.86064376998411</v>
      </c>
    </row>
    <row r="540" spans="1:10" x14ac:dyDescent="0.35">
      <c r="A540" s="1">
        <v>45568</v>
      </c>
      <c r="B540" t="s">
        <v>11</v>
      </c>
      <c r="C540" t="s">
        <v>20</v>
      </c>
      <c r="D540" t="s">
        <v>35</v>
      </c>
      <c r="E540">
        <v>4</v>
      </c>
      <c r="F540">
        <v>1980</v>
      </c>
      <c r="G540" t="s">
        <v>38</v>
      </c>
      <c r="H540">
        <v>7920</v>
      </c>
      <c r="I540">
        <v>5833.931529876415</v>
      </c>
      <c r="J540">
        <v>2086.068470123585</v>
      </c>
    </row>
    <row r="541" spans="1:10" x14ac:dyDescent="0.35">
      <c r="A541" s="1">
        <v>45540</v>
      </c>
      <c r="B541" t="s">
        <v>12</v>
      </c>
      <c r="C541" t="s">
        <v>17</v>
      </c>
      <c r="D541" t="s">
        <v>30</v>
      </c>
      <c r="F541">
        <v>1494</v>
      </c>
      <c r="G541" t="s">
        <v>38</v>
      </c>
    </row>
    <row r="542" spans="1:10" x14ac:dyDescent="0.35">
      <c r="A542" s="1">
        <v>45455</v>
      </c>
      <c r="B542" t="s">
        <v>11</v>
      </c>
      <c r="C542" t="s">
        <v>20</v>
      </c>
      <c r="D542" t="s">
        <v>30</v>
      </c>
      <c r="E542">
        <v>1</v>
      </c>
      <c r="F542">
        <v>198</v>
      </c>
      <c r="G542" t="s">
        <v>38</v>
      </c>
      <c r="H542">
        <v>198</v>
      </c>
      <c r="I542">
        <v>143.0491364768242</v>
      </c>
      <c r="J542">
        <v>54.950863523175769</v>
      </c>
    </row>
    <row r="543" spans="1:10" x14ac:dyDescent="0.35">
      <c r="A543" s="1">
        <v>45648</v>
      </c>
      <c r="B543" t="s">
        <v>13</v>
      </c>
      <c r="C543" t="s">
        <v>24</v>
      </c>
      <c r="D543" t="s">
        <v>33</v>
      </c>
      <c r="E543">
        <v>10</v>
      </c>
      <c r="F543">
        <v>146</v>
      </c>
      <c r="G543" t="s">
        <v>40</v>
      </c>
      <c r="H543">
        <v>1460</v>
      </c>
      <c r="I543">
        <v>1179.128890255796</v>
      </c>
      <c r="J543">
        <v>280.8711097442042</v>
      </c>
    </row>
    <row r="544" spans="1:10" x14ac:dyDescent="0.35">
      <c r="A544" s="1">
        <v>45483</v>
      </c>
      <c r="B544" t="s">
        <v>10</v>
      </c>
      <c r="C544" t="s">
        <v>24</v>
      </c>
      <c r="D544" t="s">
        <v>37</v>
      </c>
      <c r="E544">
        <v>19</v>
      </c>
      <c r="F544">
        <v>938</v>
      </c>
      <c r="G544" t="s">
        <v>40</v>
      </c>
      <c r="H544">
        <v>17822</v>
      </c>
      <c r="I544">
        <v>15216.058885205741</v>
      </c>
      <c r="J544">
        <v>2605.9411147942569</v>
      </c>
    </row>
    <row r="545" spans="1:10" x14ac:dyDescent="0.35">
      <c r="A545" s="1">
        <v>45518</v>
      </c>
      <c r="B545" t="s">
        <v>12</v>
      </c>
      <c r="C545" t="s">
        <v>17</v>
      </c>
      <c r="D545" t="s">
        <v>36</v>
      </c>
      <c r="E545">
        <v>15</v>
      </c>
      <c r="F545">
        <v>521</v>
      </c>
      <c r="G545" t="s">
        <v>38</v>
      </c>
      <c r="H545">
        <v>7815</v>
      </c>
      <c r="I545">
        <v>5524.9912580686942</v>
      </c>
      <c r="J545">
        <v>2290.0087419313058</v>
      </c>
    </row>
    <row r="546" spans="1:10" x14ac:dyDescent="0.35">
      <c r="A546" s="1">
        <v>45468</v>
      </c>
      <c r="B546" t="s">
        <v>10</v>
      </c>
      <c r="C546" t="s">
        <v>22</v>
      </c>
      <c r="D546" t="s">
        <v>35</v>
      </c>
      <c r="E546">
        <v>10</v>
      </c>
      <c r="F546">
        <v>1603</v>
      </c>
      <c r="G546" t="s">
        <v>40</v>
      </c>
      <c r="H546">
        <v>16030</v>
      </c>
      <c r="I546">
        <v>10736.690960859079</v>
      </c>
      <c r="J546">
        <v>5293.3090391409169</v>
      </c>
    </row>
    <row r="547" spans="1:10" x14ac:dyDescent="0.35">
      <c r="A547" s="1">
        <v>45390</v>
      </c>
      <c r="B547" t="s">
        <v>12</v>
      </c>
      <c r="C547" t="s">
        <v>22</v>
      </c>
      <c r="D547" t="s">
        <v>33</v>
      </c>
      <c r="E547">
        <v>19</v>
      </c>
      <c r="F547">
        <v>1702</v>
      </c>
      <c r="G547" t="s">
        <v>40</v>
      </c>
      <c r="H547">
        <v>32338</v>
      </c>
      <c r="I547">
        <v>25480.660469186059</v>
      </c>
      <c r="J547">
        <v>6857.3395308139443</v>
      </c>
    </row>
    <row r="548" spans="1:10" x14ac:dyDescent="0.35">
      <c r="A548" s="1">
        <v>45327</v>
      </c>
      <c r="B548" t="s">
        <v>13</v>
      </c>
      <c r="C548" t="s">
        <v>21</v>
      </c>
      <c r="D548" t="s">
        <v>30</v>
      </c>
      <c r="E548">
        <v>12</v>
      </c>
      <c r="F548">
        <v>161</v>
      </c>
      <c r="G548" t="s">
        <v>40</v>
      </c>
      <c r="H548">
        <v>1932</v>
      </c>
      <c r="I548">
        <v>1693.136272021603</v>
      </c>
      <c r="J548">
        <v>238.86372797839701</v>
      </c>
    </row>
    <row r="549" spans="1:10" x14ac:dyDescent="0.35">
      <c r="A549" s="1">
        <v>45387</v>
      </c>
      <c r="B549" t="s">
        <v>12</v>
      </c>
      <c r="C549" t="s">
        <v>21</v>
      </c>
      <c r="D549" t="s">
        <v>32</v>
      </c>
      <c r="E549">
        <v>16</v>
      </c>
      <c r="F549">
        <v>1232</v>
      </c>
      <c r="G549" t="s">
        <v>40</v>
      </c>
      <c r="H549">
        <v>19712</v>
      </c>
      <c r="I549">
        <v>12911.123634744999</v>
      </c>
      <c r="J549">
        <v>6800.8763652550042</v>
      </c>
    </row>
    <row r="550" spans="1:10" x14ac:dyDescent="0.35">
      <c r="A550" s="1">
        <v>45443</v>
      </c>
      <c r="B550" t="s">
        <v>13</v>
      </c>
      <c r="C550" t="s">
        <v>19</v>
      </c>
      <c r="D550" t="s">
        <v>37</v>
      </c>
      <c r="E550">
        <v>9</v>
      </c>
      <c r="F550">
        <v>1802</v>
      </c>
      <c r="G550" t="s">
        <v>40</v>
      </c>
      <c r="H550">
        <v>16218</v>
      </c>
      <c r="I550">
        <v>13637.81050263934</v>
      </c>
      <c r="J550">
        <v>2580.1894973606609</v>
      </c>
    </row>
    <row r="551" spans="1:10" x14ac:dyDescent="0.35">
      <c r="A551" s="1">
        <v>45442</v>
      </c>
      <c r="B551" t="s">
        <v>12</v>
      </c>
      <c r="C551" t="s">
        <v>17</v>
      </c>
      <c r="D551" t="s">
        <v>33</v>
      </c>
      <c r="E551">
        <v>15</v>
      </c>
      <c r="F551">
        <v>1672</v>
      </c>
      <c r="G551" t="s">
        <v>38</v>
      </c>
      <c r="H551">
        <v>25080</v>
      </c>
      <c r="I551">
        <v>18633.99243351183</v>
      </c>
      <c r="J551">
        <v>6446.0075664881697</v>
      </c>
    </row>
    <row r="552" spans="1:10" x14ac:dyDescent="0.35">
      <c r="A552" s="1">
        <v>45481</v>
      </c>
      <c r="B552" t="s">
        <v>13</v>
      </c>
      <c r="C552" t="s">
        <v>20</v>
      </c>
      <c r="D552" t="s">
        <v>33</v>
      </c>
      <c r="E552">
        <v>17</v>
      </c>
      <c r="F552">
        <v>1242</v>
      </c>
      <c r="G552" t="s">
        <v>38</v>
      </c>
      <c r="H552">
        <v>21114</v>
      </c>
      <c r="I552">
        <v>17732.67210259668</v>
      </c>
      <c r="J552">
        <v>3381.3278974033201</v>
      </c>
    </row>
    <row r="553" spans="1:10" x14ac:dyDescent="0.35">
      <c r="A553" s="1">
        <v>45515</v>
      </c>
      <c r="B553" t="s">
        <v>13</v>
      </c>
      <c r="C553" t="s">
        <v>23</v>
      </c>
      <c r="D553" t="s">
        <v>34</v>
      </c>
      <c r="E553">
        <v>14</v>
      </c>
      <c r="F553">
        <v>1109</v>
      </c>
      <c r="G553" t="s">
        <v>39</v>
      </c>
      <c r="H553">
        <v>15526</v>
      </c>
      <c r="I553">
        <v>11670.30956741403</v>
      </c>
      <c r="J553">
        <v>3855.6904325859668</v>
      </c>
    </row>
    <row r="554" spans="1:10" x14ac:dyDescent="0.35">
      <c r="A554" s="1">
        <v>45328</v>
      </c>
      <c r="B554" t="s">
        <v>11</v>
      </c>
      <c r="C554" t="s">
        <v>17</v>
      </c>
      <c r="D554" t="s">
        <v>33</v>
      </c>
      <c r="E554">
        <v>18</v>
      </c>
      <c r="F554">
        <v>697</v>
      </c>
      <c r="G554" t="s">
        <v>38</v>
      </c>
      <c r="H554">
        <v>12546</v>
      </c>
      <c r="I554">
        <v>8947.7862769186922</v>
      </c>
      <c r="J554">
        <v>3598.2137230813082</v>
      </c>
    </row>
    <row r="555" spans="1:10" x14ac:dyDescent="0.35">
      <c r="A555" s="1">
        <v>45559</v>
      </c>
      <c r="B555" t="s">
        <v>13</v>
      </c>
      <c r="C555" t="s">
        <v>19</v>
      </c>
      <c r="D555" t="s">
        <v>34</v>
      </c>
      <c r="F555">
        <v>1505</v>
      </c>
      <c r="G555" t="s">
        <v>40</v>
      </c>
    </row>
    <row r="556" spans="1:10" x14ac:dyDescent="0.35">
      <c r="A556" s="1">
        <v>45474</v>
      </c>
      <c r="B556" t="s">
        <v>11</v>
      </c>
      <c r="C556" t="s">
        <v>21</v>
      </c>
      <c r="D556" t="s">
        <v>35</v>
      </c>
      <c r="E556">
        <v>4</v>
      </c>
      <c r="F556">
        <v>491</v>
      </c>
      <c r="G556" t="s">
        <v>40</v>
      </c>
      <c r="H556">
        <v>1964</v>
      </c>
      <c r="I556">
        <v>1709.0496019753141</v>
      </c>
      <c r="J556">
        <v>254.95039802468639</v>
      </c>
    </row>
    <row r="557" spans="1:10" x14ac:dyDescent="0.35">
      <c r="A557" s="1">
        <v>45304</v>
      </c>
      <c r="B557" t="s">
        <v>13</v>
      </c>
      <c r="C557" t="s">
        <v>17</v>
      </c>
      <c r="D557" t="s">
        <v>35</v>
      </c>
      <c r="E557">
        <v>18</v>
      </c>
      <c r="F557">
        <v>1076</v>
      </c>
      <c r="G557" t="s">
        <v>38</v>
      </c>
      <c r="H557">
        <v>19368</v>
      </c>
      <c r="I557">
        <v>13481.590654142899</v>
      </c>
      <c r="J557">
        <v>5886.4093458570987</v>
      </c>
    </row>
    <row r="558" spans="1:10" x14ac:dyDescent="0.35">
      <c r="A558" s="1">
        <v>45570</v>
      </c>
      <c r="B558" t="s">
        <v>10</v>
      </c>
      <c r="C558" t="s">
        <v>17</v>
      </c>
      <c r="D558" t="s">
        <v>30</v>
      </c>
      <c r="E558">
        <v>7</v>
      </c>
      <c r="F558">
        <v>1175</v>
      </c>
      <c r="G558" t="s">
        <v>38</v>
      </c>
      <c r="H558">
        <v>8225</v>
      </c>
      <c r="I558">
        <v>6071.8960230986131</v>
      </c>
      <c r="J558">
        <v>2153.1039769013869</v>
      </c>
    </row>
    <row r="559" spans="1:10" x14ac:dyDescent="0.35">
      <c r="A559" s="1">
        <v>45508</v>
      </c>
      <c r="B559" t="s">
        <v>13</v>
      </c>
      <c r="C559" t="s">
        <v>21</v>
      </c>
      <c r="D559" t="s">
        <v>32</v>
      </c>
      <c r="E559">
        <v>13</v>
      </c>
      <c r="F559">
        <v>702</v>
      </c>
      <c r="G559" t="s">
        <v>40</v>
      </c>
      <c r="H559">
        <v>9126</v>
      </c>
      <c r="I559">
        <v>6103.6530357697393</v>
      </c>
      <c r="J559">
        <v>3022.3469642302612</v>
      </c>
    </row>
    <row r="560" spans="1:10" x14ac:dyDescent="0.35">
      <c r="A560" s="1">
        <v>45646</v>
      </c>
      <c r="B560" t="s">
        <v>10</v>
      </c>
      <c r="C560" t="s">
        <v>18</v>
      </c>
      <c r="D560" t="s">
        <v>31</v>
      </c>
      <c r="E560">
        <v>15</v>
      </c>
      <c r="F560">
        <v>1412</v>
      </c>
      <c r="G560" t="s">
        <v>39</v>
      </c>
      <c r="H560">
        <v>21180</v>
      </c>
      <c r="I560">
        <v>13873.38373182465</v>
      </c>
      <c r="J560">
        <v>7306.616268175354</v>
      </c>
    </row>
    <row r="561" spans="1:10" x14ac:dyDescent="0.35">
      <c r="A561" s="1">
        <v>45652</v>
      </c>
      <c r="B561" t="s">
        <v>10</v>
      </c>
      <c r="C561" t="s">
        <v>19</v>
      </c>
      <c r="D561" t="s">
        <v>31</v>
      </c>
      <c r="E561">
        <v>1</v>
      </c>
      <c r="F561">
        <v>436</v>
      </c>
      <c r="G561" t="s">
        <v>40</v>
      </c>
      <c r="H561">
        <v>436</v>
      </c>
      <c r="I561">
        <v>363.34803062489652</v>
      </c>
      <c r="J561">
        <v>72.651969375103533</v>
      </c>
    </row>
    <row r="562" spans="1:10" x14ac:dyDescent="0.35">
      <c r="A562" s="1">
        <v>45577</v>
      </c>
      <c r="B562" t="s">
        <v>13</v>
      </c>
      <c r="C562" t="s">
        <v>21</v>
      </c>
      <c r="D562" t="s">
        <v>31</v>
      </c>
      <c r="E562">
        <v>11</v>
      </c>
      <c r="F562">
        <v>909</v>
      </c>
      <c r="G562" t="s">
        <v>40</v>
      </c>
      <c r="H562">
        <v>9999</v>
      </c>
      <c r="I562">
        <v>6601.3321508303197</v>
      </c>
      <c r="J562">
        <v>3397.6678491696798</v>
      </c>
    </row>
    <row r="563" spans="1:10" x14ac:dyDescent="0.35">
      <c r="A563" s="1">
        <v>45564</v>
      </c>
      <c r="B563" t="s">
        <v>10</v>
      </c>
      <c r="C563" t="s">
        <v>22</v>
      </c>
      <c r="D563" t="s">
        <v>30</v>
      </c>
      <c r="E563">
        <v>10</v>
      </c>
      <c r="F563">
        <v>1327</v>
      </c>
      <c r="G563" t="s">
        <v>40</v>
      </c>
      <c r="H563">
        <v>13270</v>
      </c>
      <c r="I563">
        <v>11120.199640082439</v>
      </c>
      <c r="J563">
        <v>2149.8003599175549</v>
      </c>
    </row>
    <row r="564" spans="1:10" x14ac:dyDescent="0.35">
      <c r="A564" s="1">
        <v>45353</v>
      </c>
      <c r="B564" t="s">
        <v>11</v>
      </c>
      <c r="C564" t="s">
        <v>20</v>
      </c>
      <c r="D564" t="s">
        <v>34</v>
      </c>
      <c r="E564">
        <v>5</v>
      </c>
      <c r="F564">
        <v>1361</v>
      </c>
      <c r="G564" t="s">
        <v>38</v>
      </c>
      <c r="H564">
        <v>6805</v>
      </c>
      <c r="I564">
        <v>4959.2466113318997</v>
      </c>
      <c r="J564">
        <v>1845.7533886680999</v>
      </c>
    </row>
    <row r="565" spans="1:10" x14ac:dyDescent="0.35">
      <c r="A565" s="1">
        <v>45375</v>
      </c>
      <c r="B565" t="s">
        <v>12</v>
      </c>
      <c r="C565" t="s">
        <v>21</v>
      </c>
      <c r="D565" t="s">
        <v>30</v>
      </c>
      <c r="E565">
        <v>16</v>
      </c>
      <c r="F565">
        <v>1505</v>
      </c>
      <c r="G565" t="s">
        <v>40</v>
      </c>
      <c r="H565">
        <v>24080</v>
      </c>
      <c r="I565">
        <v>21636.23197789734</v>
      </c>
      <c r="J565">
        <v>2443.7680221026599</v>
      </c>
    </row>
    <row r="566" spans="1:10" x14ac:dyDescent="0.35">
      <c r="A566" s="1">
        <v>45508</v>
      </c>
      <c r="B566" t="s">
        <v>13</v>
      </c>
      <c r="C566" t="s">
        <v>19</v>
      </c>
      <c r="D566" t="s">
        <v>37</v>
      </c>
      <c r="E566">
        <v>11</v>
      </c>
      <c r="F566">
        <v>1790</v>
      </c>
      <c r="G566" t="s">
        <v>40</v>
      </c>
      <c r="H566">
        <v>19690</v>
      </c>
      <c r="I566">
        <v>12979.69575725594</v>
      </c>
      <c r="J566">
        <v>6710.304242744056</v>
      </c>
    </row>
    <row r="567" spans="1:10" x14ac:dyDescent="0.35">
      <c r="A567" s="1">
        <v>45633</v>
      </c>
      <c r="B567" t="s">
        <v>10</v>
      </c>
      <c r="C567" t="s">
        <v>24</v>
      </c>
      <c r="D567" t="s">
        <v>37</v>
      </c>
      <c r="E567">
        <v>6</v>
      </c>
      <c r="F567">
        <v>851</v>
      </c>
      <c r="G567" t="s">
        <v>40</v>
      </c>
      <c r="H567">
        <v>5106</v>
      </c>
      <c r="I567">
        <v>3206.0236889311468</v>
      </c>
      <c r="J567">
        <v>1899.976311068853</v>
      </c>
    </row>
    <row r="568" spans="1:10" x14ac:dyDescent="0.35">
      <c r="A568" s="1">
        <v>45478</v>
      </c>
      <c r="B568" t="s">
        <v>13</v>
      </c>
      <c r="C568" t="s">
        <v>22</v>
      </c>
      <c r="D568" t="s">
        <v>32</v>
      </c>
      <c r="E568">
        <v>9</v>
      </c>
      <c r="F568">
        <v>1259</v>
      </c>
      <c r="G568" t="s">
        <v>40</v>
      </c>
      <c r="H568">
        <v>11331</v>
      </c>
      <c r="I568">
        <v>7055.0196335031624</v>
      </c>
      <c r="J568">
        <v>4275.9803664968376</v>
      </c>
    </row>
    <row r="569" spans="1:10" x14ac:dyDescent="0.35">
      <c r="A569" s="1">
        <v>45310</v>
      </c>
      <c r="B569" t="s">
        <v>11</v>
      </c>
      <c r="C569" t="s">
        <v>24</v>
      </c>
      <c r="D569" t="s">
        <v>37</v>
      </c>
      <c r="E569">
        <v>13</v>
      </c>
      <c r="F569">
        <v>1530</v>
      </c>
      <c r="G569" t="s">
        <v>40</v>
      </c>
      <c r="H569">
        <v>19890</v>
      </c>
      <c r="I569">
        <v>16918.939234189311</v>
      </c>
      <c r="J569">
        <v>2971.0607658106928</v>
      </c>
    </row>
    <row r="570" spans="1:10" x14ac:dyDescent="0.35">
      <c r="A570" s="1">
        <v>45468</v>
      </c>
      <c r="B570" t="s">
        <v>13</v>
      </c>
      <c r="C570" t="s">
        <v>23</v>
      </c>
      <c r="D570" t="s">
        <v>31</v>
      </c>
      <c r="E570">
        <v>8</v>
      </c>
      <c r="F570">
        <v>1631</v>
      </c>
      <c r="G570" t="s">
        <v>39</v>
      </c>
      <c r="H570">
        <v>13048</v>
      </c>
      <c r="I570">
        <v>9542.4315920067784</v>
      </c>
      <c r="J570">
        <v>3505.5684079932221</v>
      </c>
    </row>
    <row r="571" spans="1:10" x14ac:dyDescent="0.35">
      <c r="A571" s="1">
        <v>45391</v>
      </c>
      <c r="B571" t="s">
        <v>13</v>
      </c>
      <c r="C571" t="s">
        <v>21</v>
      </c>
      <c r="D571" t="s">
        <v>31</v>
      </c>
      <c r="E571">
        <v>14</v>
      </c>
      <c r="F571">
        <v>1485</v>
      </c>
      <c r="G571" t="s">
        <v>40</v>
      </c>
      <c r="H571">
        <v>20790</v>
      </c>
      <c r="I571">
        <v>12493.486568750661</v>
      </c>
      <c r="J571">
        <v>8296.5134312493428</v>
      </c>
    </row>
    <row r="572" spans="1:10" x14ac:dyDescent="0.35">
      <c r="A572" s="1">
        <v>45524</v>
      </c>
      <c r="B572" t="s">
        <v>10</v>
      </c>
      <c r="C572" t="s">
        <v>22</v>
      </c>
      <c r="D572" t="s">
        <v>30</v>
      </c>
      <c r="E572">
        <v>1</v>
      </c>
      <c r="F572">
        <v>1504</v>
      </c>
      <c r="G572" t="s">
        <v>40</v>
      </c>
      <c r="H572">
        <v>1504</v>
      </c>
      <c r="I572">
        <v>1297.0968387615051</v>
      </c>
      <c r="J572">
        <v>206.9031612384949</v>
      </c>
    </row>
    <row r="573" spans="1:10" x14ac:dyDescent="0.35">
      <c r="A573" s="1">
        <v>45367</v>
      </c>
      <c r="B573" t="s">
        <v>50</v>
      </c>
      <c r="C573" t="s">
        <v>20</v>
      </c>
      <c r="D573" t="s">
        <v>33</v>
      </c>
      <c r="E573">
        <v>17</v>
      </c>
      <c r="F573">
        <v>980</v>
      </c>
      <c r="G573" t="s">
        <v>38</v>
      </c>
      <c r="H573">
        <v>16660</v>
      </c>
      <c r="I573">
        <v>14378.851192537701</v>
      </c>
      <c r="J573">
        <v>2281.148807462298</v>
      </c>
    </row>
    <row r="574" spans="1:10" x14ac:dyDescent="0.35">
      <c r="A574" s="1">
        <v>45556</v>
      </c>
      <c r="B574" t="s">
        <v>12</v>
      </c>
      <c r="D574" t="s">
        <v>37</v>
      </c>
      <c r="E574">
        <v>5</v>
      </c>
      <c r="F574">
        <v>1699</v>
      </c>
      <c r="G574" t="s">
        <v>40</v>
      </c>
      <c r="H574">
        <v>8495</v>
      </c>
      <c r="I574">
        <v>7152.1528937368876</v>
      </c>
      <c r="J574">
        <v>1342.847106263112</v>
      </c>
    </row>
    <row r="575" spans="1:10" x14ac:dyDescent="0.35">
      <c r="A575" s="1">
        <v>45575</v>
      </c>
      <c r="B575" t="s">
        <v>12</v>
      </c>
      <c r="C575" t="s">
        <v>20</v>
      </c>
      <c r="D575" t="s">
        <v>30</v>
      </c>
      <c r="E575">
        <v>2</v>
      </c>
      <c r="F575">
        <v>734</v>
      </c>
      <c r="G575" t="s">
        <v>38</v>
      </c>
      <c r="H575">
        <v>1468</v>
      </c>
      <c r="I575">
        <v>990.15945992414072</v>
      </c>
      <c r="J575">
        <v>477.84054007585928</v>
      </c>
    </row>
    <row r="576" spans="1:10" x14ac:dyDescent="0.35">
      <c r="A576" s="1">
        <v>45497</v>
      </c>
      <c r="B576" t="s">
        <v>10</v>
      </c>
      <c r="C576" t="s">
        <v>18</v>
      </c>
      <c r="D576" t="s">
        <v>35</v>
      </c>
      <c r="E576">
        <v>9</v>
      </c>
      <c r="F576">
        <v>353</v>
      </c>
      <c r="G576" t="s">
        <v>39</v>
      </c>
      <c r="H576">
        <v>3177</v>
      </c>
      <c r="I576">
        <v>2261.4706174960229</v>
      </c>
      <c r="J576">
        <v>915.5293825039771</v>
      </c>
    </row>
    <row r="577" spans="1:10" x14ac:dyDescent="0.35">
      <c r="A577" s="1">
        <v>45514</v>
      </c>
      <c r="B577" t="s">
        <v>13</v>
      </c>
      <c r="C577" t="s">
        <v>17</v>
      </c>
      <c r="D577" t="s">
        <v>35</v>
      </c>
      <c r="E577">
        <v>4</v>
      </c>
      <c r="F577">
        <v>1600</v>
      </c>
      <c r="G577" t="s">
        <v>38</v>
      </c>
      <c r="H577">
        <v>6400</v>
      </c>
      <c r="I577">
        <v>5270.2583523753292</v>
      </c>
      <c r="J577">
        <v>1129.741647624671</v>
      </c>
    </row>
    <row r="578" spans="1:10" x14ac:dyDescent="0.35">
      <c r="A578" s="1">
        <v>45343</v>
      </c>
      <c r="B578" t="s">
        <v>10</v>
      </c>
      <c r="C578" t="s">
        <v>24</v>
      </c>
      <c r="D578" t="s">
        <v>33</v>
      </c>
      <c r="E578">
        <v>17</v>
      </c>
      <c r="F578">
        <v>1237</v>
      </c>
      <c r="G578" t="s">
        <v>40</v>
      </c>
      <c r="H578">
        <v>21029</v>
      </c>
      <c r="I578">
        <v>15704.582062258831</v>
      </c>
      <c r="J578">
        <v>5324.4179377411674</v>
      </c>
    </row>
    <row r="579" spans="1:10" x14ac:dyDescent="0.35">
      <c r="A579" s="1">
        <v>45630</v>
      </c>
      <c r="B579" t="s">
        <v>10</v>
      </c>
      <c r="C579" t="s">
        <v>22</v>
      </c>
      <c r="D579" t="s">
        <v>33</v>
      </c>
      <c r="E579">
        <v>17</v>
      </c>
      <c r="F579">
        <v>119</v>
      </c>
      <c r="G579" t="s">
        <v>40</v>
      </c>
      <c r="H579">
        <v>2023</v>
      </c>
      <c r="I579">
        <v>1307.1573494135239</v>
      </c>
      <c r="J579">
        <v>715.84265058647611</v>
      </c>
    </row>
    <row r="580" spans="1:10" x14ac:dyDescent="0.35">
      <c r="A580" s="1">
        <v>45435</v>
      </c>
      <c r="B580" t="s">
        <v>10</v>
      </c>
      <c r="C580" t="s">
        <v>20</v>
      </c>
      <c r="D580" t="s">
        <v>33</v>
      </c>
      <c r="E580">
        <v>18</v>
      </c>
      <c r="F580">
        <v>627</v>
      </c>
      <c r="G580" t="s">
        <v>38</v>
      </c>
      <c r="H580">
        <v>11286</v>
      </c>
      <c r="I580">
        <v>7593.6663640377928</v>
      </c>
      <c r="J580">
        <v>3692.3336359622072</v>
      </c>
    </row>
    <row r="581" spans="1:10" x14ac:dyDescent="0.35">
      <c r="A581" s="1">
        <v>45360</v>
      </c>
      <c r="B581" t="s">
        <v>13</v>
      </c>
      <c r="C581" t="s">
        <v>19</v>
      </c>
      <c r="D581" t="s">
        <v>30</v>
      </c>
      <c r="E581">
        <v>16</v>
      </c>
      <c r="F581">
        <v>1268</v>
      </c>
      <c r="G581" t="s">
        <v>40</v>
      </c>
      <c r="H581">
        <v>20288</v>
      </c>
      <c r="I581">
        <v>18092.368956484679</v>
      </c>
      <c r="J581">
        <v>2195.6310435153209</v>
      </c>
    </row>
    <row r="582" spans="1:10" x14ac:dyDescent="0.35">
      <c r="A582" s="1">
        <v>45390</v>
      </c>
      <c r="B582" t="s">
        <v>11</v>
      </c>
      <c r="C582" t="s">
        <v>20</v>
      </c>
      <c r="D582" t="s">
        <v>35</v>
      </c>
      <c r="E582">
        <v>8</v>
      </c>
      <c r="F582">
        <v>1331</v>
      </c>
      <c r="G582" t="s">
        <v>38</v>
      </c>
      <c r="H582">
        <v>10648</v>
      </c>
      <c r="I582">
        <v>6871.1963023091485</v>
      </c>
      <c r="J582">
        <v>3776.803697690852</v>
      </c>
    </row>
    <row r="583" spans="1:10" x14ac:dyDescent="0.35">
      <c r="A583" s="1">
        <v>45316</v>
      </c>
      <c r="B583" t="s">
        <v>10</v>
      </c>
      <c r="C583" t="s">
        <v>19</v>
      </c>
      <c r="D583" t="s">
        <v>31</v>
      </c>
      <c r="E583">
        <v>11</v>
      </c>
      <c r="F583">
        <v>1654</v>
      </c>
      <c r="G583" t="s">
        <v>40</v>
      </c>
      <c r="H583">
        <v>18194</v>
      </c>
      <c r="I583">
        <v>14879.49398610089</v>
      </c>
      <c r="J583">
        <v>3314.5060138991098</v>
      </c>
    </row>
    <row r="584" spans="1:10" x14ac:dyDescent="0.35">
      <c r="A584" s="1">
        <v>45344</v>
      </c>
      <c r="B584" t="s">
        <v>13</v>
      </c>
      <c r="C584" t="s">
        <v>21</v>
      </c>
      <c r="D584" t="s">
        <v>33</v>
      </c>
      <c r="E584">
        <v>18</v>
      </c>
      <c r="F584">
        <v>475</v>
      </c>
      <c r="G584" t="s">
        <v>40</v>
      </c>
      <c r="H584">
        <v>8550</v>
      </c>
      <c r="I584">
        <v>6356.1169565817172</v>
      </c>
      <c r="J584">
        <v>2193.8830434182828</v>
      </c>
    </row>
    <row r="585" spans="1:10" x14ac:dyDescent="0.35">
      <c r="A585" s="1">
        <v>45442</v>
      </c>
      <c r="B585" t="s">
        <v>11</v>
      </c>
      <c r="C585" t="s">
        <v>22</v>
      </c>
      <c r="D585" t="s">
        <v>32</v>
      </c>
      <c r="E585">
        <v>10</v>
      </c>
      <c r="F585">
        <v>1627</v>
      </c>
      <c r="G585" t="s">
        <v>40</v>
      </c>
      <c r="H585">
        <v>16270</v>
      </c>
      <c r="I585">
        <v>13415.92470027409</v>
      </c>
      <c r="J585">
        <v>2854.0752997259078</v>
      </c>
    </row>
    <row r="586" spans="1:10" x14ac:dyDescent="0.35">
      <c r="A586" s="1">
        <v>45435</v>
      </c>
      <c r="B586" t="s">
        <v>10</v>
      </c>
      <c r="C586" t="s">
        <v>20</v>
      </c>
      <c r="D586" t="s">
        <v>34</v>
      </c>
      <c r="E586">
        <v>13</v>
      </c>
      <c r="F586">
        <v>265</v>
      </c>
      <c r="G586" t="s">
        <v>38</v>
      </c>
      <c r="H586">
        <v>3445</v>
      </c>
      <c r="I586">
        <v>2750.26053472273</v>
      </c>
      <c r="J586">
        <v>694.73946527726957</v>
      </c>
    </row>
    <row r="587" spans="1:10" x14ac:dyDescent="0.35">
      <c r="A587" s="1">
        <v>45348</v>
      </c>
      <c r="B587" t="s">
        <v>12</v>
      </c>
      <c r="C587" t="s">
        <v>23</v>
      </c>
      <c r="D587" t="s">
        <v>30</v>
      </c>
      <c r="E587">
        <v>17</v>
      </c>
      <c r="F587">
        <v>1673</v>
      </c>
      <c r="G587" t="s">
        <v>39</v>
      </c>
      <c r="H587">
        <v>28441</v>
      </c>
      <c r="I587">
        <v>20811.70621996668</v>
      </c>
      <c r="J587">
        <v>7629.2937800333239</v>
      </c>
    </row>
    <row r="588" spans="1:10" x14ac:dyDescent="0.35">
      <c r="A588" s="1">
        <v>45330</v>
      </c>
      <c r="B588" t="s">
        <v>11</v>
      </c>
      <c r="C588" t="s">
        <v>20</v>
      </c>
      <c r="D588" t="s">
        <v>33</v>
      </c>
      <c r="E588">
        <v>18</v>
      </c>
      <c r="F588">
        <v>1304</v>
      </c>
      <c r="G588" t="s">
        <v>38</v>
      </c>
      <c r="H588">
        <v>23472</v>
      </c>
      <c r="I588">
        <v>16575.298463088289</v>
      </c>
      <c r="J588">
        <v>6896.7015369117144</v>
      </c>
    </row>
    <row r="589" spans="1:10" x14ac:dyDescent="0.35">
      <c r="A589" s="1">
        <v>45400</v>
      </c>
      <c r="B589" t="s">
        <v>10</v>
      </c>
      <c r="C589" t="s">
        <v>18</v>
      </c>
      <c r="D589" t="s">
        <v>34</v>
      </c>
      <c r="F589">
        <v>960</v>
      </c>
      <c r="G589" t="s">
        <v>39</v>
      </c>
    </row>
    <row r="590" spans="1:10" x14ac:dyDescent="0.35">
      <c r="A590" s="1">
        <v>45472</v>
      </c>
      <c r="B590" t="s">
        <v>11</v>
      </c>
      <c r="C590" t="s">
        <v>23</v>
      </c>
      <c r="D590" t="s">
        <v>36</v>
      </c>
      <c r="E590">
        <v>16</v>
      </c>
      <c r="F590">
        <v>716</v>
      </c>
      <c r="G590" t="s">
        <v>39</v>
      </c>
      <c r="H590">
        <v>11456</v>
      </c>
      <c r="I590">
        <v>7984.1716976737707</v>
      </c>
      <c r="J590">
        <v>3471.8283023262288</v>
      </c>
    </row>
    <row r="591" spans="1:10" x14ac:dyDescent="0.35">
      <c r="A591" s="1">
        <v>45333</v>
      </c>
      <c r="B591" t="s">
        <v>11</v>
      </c>
      <c r="C591" t="s">
        <v>22</v>
      </c>
      <c r="D591" t="s">
        <v>33</v>
      </c>
      <c r="E591">
        <v>5</v>
      </c>
      <c r="F591">
        <v>711</v>
      </c>
      <c r="G591" t="s">
        <v>40</v>
      </c>
      <c r="H591">
        <v>3555</v>
      </c>
      <c r="I591">
        <v>2973.1582835144582</v>
      </c>
      <c r="J591">
        <v>581.84171648554184</v>
      </c>
    </row>
    <row r="592" spans="1:10" x14ac:dyDescent="0.35">
      <c r="A592" s="1">
        <v>45477</v>
      </c>
      <c r="B592" t="s">
        <v>11</v>
      </c>
      <c r="C592" t="s">
        <v>18</v>
      </c>
      <c r="D592" t="s">
        <v>35</v>
      </c>
      <c r="E592">
        <v>13</v>
      </c>
      <c r="F592">
        <v>1725</v>
      </c>
      <c r="G592" t="s">
        <v>39</v>
      </c>
      <c r="H592">
        <v>22425</v>
      </c>
      <c r="I592">
        <v>18028.644228751571</v>
      </c>
      <c r="J592">
        <v>4396.3557712484289</v>
      </c>
    </row>
    <row r="593" spans="1:10" x14ac:dyDescent="0.35">
      <c r="A593" s="1">
        <v>45514</v>
      </c>
      <c r="B593" t="s">
        <v>11</v>
      </c>
      <c r="C593" t="s">
        <v>20</v>
      </c>
      <c r="E593">
        <v>18</v>
      </c>
      <c r="F593">
        <v>1935</v>
      </c>
      <c r="G593" t="s">
        <v>38</v>
      </c>
      <c r="H593">
        <v>34830</v>
      </c>
      <c r="I593">
        <v>26934.065159766378</v>
      </c>
      <c r="J593">
        <v>7895.9348402336182</v>
      </c>
    </row>
    <row r="594" spans="1:10" x14ac:dyDescent="0.35">
      <c r="A594" s="1">
        <v>45413</v>
      </c>
      <c r="B594" t="s">
        <v>11</v>
      </c>
      <c r="C594" t="s">
        <v>19</v>
      </c>
      <c r="D594" t="s">
        <v>33</v>
      </c>
      <c r="E594">
        <v>17</v>
      </c>
      <c r="F594">
        <v>1567</v>
      </c>
      <c r="G594" t="s">
        <v>40</v>
      </c>
      <c r="H594">
        <v>26639</v>
      </c>
      <c r="I594">
        <v>18930.746031873688</v>
      </c>
      <c r="J594">
        <v>7708.2539681263124</v>
      </c>
    </row>
    <row r="595" spans="1:10" x14ac:dyDescent="0.35">
      <c r="A595" s="1">
        <v>45424</v>
      </c>
      <c r="B595" t="s">
        <v>11</v>
      </c>
      <c r="C595" t="s">
        <v>20</v>
      </c>
      <c r="D595" t="s">
        <v>30</v>
      </c>
      <c r="E595">
        <v>9</v>
      </c>
      <c r="F595">
        <v>1455</v>
      </c>
      <c r="G595" t="s">
        <v>38</v>
      </c>
      <c r="H595">
        <v>13095</v>
      </c>
      <c r="I595">
        <v>8662.6621139852032</v>
      </c>
      <c r="J595">
        <v>4432.3378860147968</v>
      </c>
    </row>
    <row r="596" spans="1:10" x14ac:dyDescent="0.35">
      <c r="A596" s="1">
        <v>45454</v>
      </c>
      <c r="B596" t="s">
        <v>10</v>
      </c>
      <c r="C596" t="s">
        <v>24</v>
      </c>
      <c r="D596" t="s">
        <v>37</v>
      </c>
      <c r="E596">
        <v>14</v>
      </c>
      <c r="F596">
        <v>602</v>
      </c>
      <c r="G596" t="s">
        <v>40</v>
      </c>
      <c r="H596">
        <v>8428</v>
      </c>
      <c r="I596">
        <v>6853.0254254568936</v>
      </c>
      <c r="J596">
        <v>1574.974574543106</v>
      </c>
    </row>
    <row r="597" spans="1:10" x14ac:dyDescent="0.35">
      <c r="A597" s="1">
        <v>45506</v>
      </c>
      <c r="B597" t="s">
        <v>12</v>
      </c>
      <c r="C597" t="s">
        <v>21</v>
      </c>
      <c r="D597" t="s">
        <v>36</v>
      </c>
      <c r="E597">
        <v>17</v>
      </c>
      <c r="F597">
        <v>1012</v>
      </c>
      <c r="G597" t="s">
        <v>40</v>
      </c>
      <c r="H597">
        <v>17204</v>
      </c>
      <c r="I597">
        <v>10793.871631272799</v>
      </c>
      <c r="J597">
        <v>6410.1283687271971</v>
      </c>
    </row>
    <row r="598" spans="1:10" x14ac:dyDescent="0.35">
      <c r="A598" s="1">
        <v>45512</v>
      </c>
      <c r="B598" t="s">
        <v>13</v>
      </c>
      <c r="C598" t="s">
        <v>17</v>
      </c>
      <c r="D598" t="s">
        <v>32</v>
      </c>
      <c r="E598">
        <v>4</v>
      </c>
      <c r="F598">
        <v>178</v>
      </c>
      <c r="G598" t="s">
        <v>38</v>
      </c>
      <c r="H598">
        <v>712</v>
      </c>
      <c r="I598">
        <v>634.5078259148703</v>
      </c>
      <c r="J598">
        <v>77.492174085129705</v>
      </c>
    </row>
    <row r="599" spans="1:10" x14ac:dyDescent="0.35">
      <c r="A599" s="1">
        <v>45526</v>
      </c>
      <c r="B599" t="s">
        <v>11</v>
      </c>
      <c r="C599" t="s">
        <v>19</v>
      </c>
      <c r="D599" t="s">
        <v>37</v>
      </c>
      <c r="E599">
        <v>18</v>
      </c>
      <c r="F599">
        <v>684</v>
      </c>
      <c r="G599" t="s">
        <v>40</v>
      </c>
      <c r="H599">
        <v>12312</v>
      </c>
      <c r="I599">
        <v>11002.303297423759</v>
      </c>
      <c r="J599">
        <v>1309.6967025762351</v>
      </c>
    </row>
    <row r="600" spans="1:10" x14ac:dyDescent="0.35">
      <c r="A600" s="1">
        <v>45622</v>
      </c>
      <c r="B600" t="s">
        <v>13</v>
      </c>
      <c r="C600" t="s">
        <v>24</v>
      </c>
      <c r="D600" t="s">
        <v>34</v>
      </c>
      <c r="E600">
        <v>15</v>
      </c>
      <c r="F600">
        <v>787</v>
      </c>
      <c r="G600" t="s">
        <v>40</v>
      </c>
      <c r="H600">
        <v>11805</v>
      </c>
      <c r="I600">
        <v>7544.1833944157479</v>
      </c>
      <c r="J600">
        <v>4260.8166055842521</v>
      </c>
    </row>
    <row r="601" spans="1:10" x14ac:dyDescent="0.35">
      <c r="A601" s="1">
        <v>45437</v>
      </c>
      <c r="B601" t="s">
        <v>10</v>
      </c>
      <c r="C601" t="s">
        <v>23</v>
      </c>
      <c r="D601" t="s">
        <v>31</v>
      </c>
      <c r="E601">
        <v>11</v>
      </c>
      <c r="F601">
        <v>495</v>
      </c>
      <c r="G601" t="s">
        <v>39</v>
      </c>
      <c r="H601">
        <v>5445</v>
      </c>
      <c r="I601">
        <v>3436.7783500752562</v>
      </c>
      <c r="J601">
        <v>2008.221649924744</v>
      </c>
    </row>
    <row r="602" spans="1:10" x14ac:dyDescent="0.35">
      <c r="A602" s="1">
        <v>45530</v>
      </c>
      <c r="B602" t="s">
        <v>11</v>
      </c>
      <c r="C602" t="s">
        <v>21</v>
      </c>
      <c r="D602" t="s">
        <v>33</v>
      </c>
      <c r="E602">
        <v>12</v>
      </c>
      <c r="F602">
        <v>1731</v>
      </c>
      <c r="G602" t="s">
        <v>40</v>
      </c>
      <c r="H602">
        <v>20772</v>
      </c>
      <c r="I602">
        <v>15035.085556490611</v>
      </c>
      <c r="J602">
        <v>5736.9144435093885</v>
      </c>
    </row>
    <row r="603" spans="1:10" x14ac:dyDescent="0.35">
      <c r="A603" s="1">
        <v>45367</v>
      </c>
      <c r="B603" t="s">
        <v>12</v>
      </c>
      <c r="C603" t="s">
        <v>22</v>
      </c>
      <c r="D603" t="s">
        <v>36</v>
      </c>
      <c r="E603">
        <v>9</v>
      </c>
      <c r="F603">
        <v>1980</v>
      </c>
      <c r="G603" t="s">
        <v>40</v>
      </c>
      <c r="H603">
        <v>17820</v>
      </c>
      <c r="I603">
        <v>15843.850773504641</v>
      </c>
      <c r="J603">
        <v>1976.1492264953561</v>
      </c>
    </row>
    <row r="604" spans="1:10" x14ac:dyDescent="0.35">
      <c r="A604" s="1">
        <v>45300</v>
      </c>
      <c r="B604" t="s">
        <v>13</v>
      </c>
      <c r="C604" t="s">
        <v>19</v>
      </c>
      <c r="D604" t="s">
        <v>36</v>
      </c>
      <c r="E604">
        <v>13</v>
      </c>
      <c r="F604">
        <v>1226</v>
      </c>
      <c r="G604" t="s">
        <v>40</v>
      </c>
      <c r="H604">
        <v>15938</v>
      </c>
      <c r="I604">
        <v>11476.846533583641</v>
      </c>
      <c r="J604">
        <v>4461.1534664163573</v>
      </c>
    </row>
    <row r="605" spans="1:10" x14ac:dyDescent="0.35">
      <c r="A605" s="1">
        <v>45365</v>
      </c>
      <c r="B605" t="s">
        <v>11</v>
      </c>
      <c r="C605" t="s">
        <v>17</v>
      </c>
      <c r="D605" t="s">
        <v>37</v>
      </c>
      <c r="E605">
        <v>15</v>
      </c>
      <c r="F605">
        <v>501</v>
      </c>
      <c r="G605" t="s">
        <v>38</v>
      </c>
      <c r="H605">
        <v>7515</v>
      </c>
      <c r="I605">
        <v>5329.1918534606993</v>
      </c>
      <c r="J605">
        <v>2185.8081465393011</v>
      </c>
    </row>
    <row r="606" spans="1:10" x14ac:dyDescent="0.35">
      <c r="A606" s="1">
        <v>45544</v>
      </c>
      <c r="B606" t="s">
        <v>10</v>
      </c>
      <c r="C606" t="s">
        <v>21</v>
      </c>
      <c r="D606" t="s">
        <v>32</v>
      </c>
      <c r="E606">
        <v>15</v>
      </c>
      <c r="F606">
        <v>1074</v>
      </c>
      <c r="G606" t="s">
        <v>40</v>
      </c>
      <c r="H606">
        <v>16110</v>
      </c>
      <c r="I606">
        <v>13066.42659014106</v>
      </c>
      <c r="J606">
        <v>3043.5734098589378</v>
      </c>
    </row>
    <row r="607" spans="1:10" x14ac:dyDescent="0.35">
      <c r="A607" s="1">
        <v>45521</v>
      </c>
      <c r="B607" t="s">
        <v>12</v>
      </c>
      <c r="C607" t="s">
        <v>23</v>
      </c>
      <c r="D607" t="s">
        <v>35</v>
      </c>
      <c r="E607">
        <v>5</v>
      </c>
      <c r="F607">
        <v>323</v>
      </c>
      <c r="G607" t="s">
        <v>39</v>
      </c>
      <c r="H607">
        <v>1615</v>
      </c>
      <c r="I607">
        <v>1055.5952841303881</v>
      </c>
      <c r="J607">
        <v>559.40471586961235</v>
      </c>
    </row>
    <row r="608" spans="1:10" x14ac:dyDescent="0.35">
      <c r="A608" s="1">
        <v>45298</v>
      </c>
      <c r="B608" t="s">
        <v>50</v>
      </c>
      <c r="C608" t="s">
        <v>18</v>
      </c>
      <c r="D608" t="s">
        <v>33</v>
      </c>
      <c r="E608">
        <v>19</v>
      </c>
      <c r="F608">
        <v>617</v>
      </c>
      <c r="G608" t="s">
        <v>39</v>
      </c>
      <c r="H608">
        <v>11723</v>
      </c>
      <c r="I608">
        <v>8311.5723593805269</v>
      </c>
      <c r="J608">
        <v>3411.4276406194731</v>
      </c>
    </row>
    <row r="609" spans="1:10" x14ac:dyDescent="0.35">
      <c r="A609" s="1">
        <v>45465</v>
      </c>
      <c r="B609" t="s">
        <v>13</v>
      </c>
      <c r="C609" t="s">
        <v>18</v>
      </c>
      <c r="D609" t="s">
        <v>36</v>
      </c>
      <c r="E609">
        <v>14</v>
      </c>
      <c r="F609">
        <v>733</v>
      </c>
      <c r="G609" t="s">
        <v>39</v>
      </c>
      <c r="H609">
        <v>10262</v>
      </c>
      <c r="I609">
        <v>7054.0191041006383</v>
      </c>
      <c r="J609">
        <v>3207.9808958993622</v>
      </c>
    </row>
    <row r="610" spans="1:10" x14ac:dyDescent="0.35">
      <c r="A610" s="1">
        <v>45432</v>
      </c>
      <c r="B610" t="s">
        <v>11</v>
      </c>
      <c r="C610" t="s">
        <v>17</v>
      </c>
      <c r="D610" t="s">
        <v>32</v>
      </c>
      <c r="E610">
        <v>17</v>
      </c>
      <c r="F610">
        <v>335</v>
      </c>
      <c r="G610" t="s">
        <v>38</v>
      </c>
      <c r="H610">
        <v>5695</v>
      </c>
      <c r="I610">
        <v>4444.7219027644251</v>
      </c>
      <c r="J610">
        <v>1250.2780972355749</v>
      </c>
    </row>
    <row r="611" spans="1:10" x14ac:dyDescent="0.35">
      <c r="A611" s="1">
        <v>45459</v>
      </c>
      <c r="B611" t="s">
        <v>12</v>
      </c>
      <c r="C611" t="s">
        <v>22</v>
      </c>
      <c r="D611" t="s">
        <v>31</v>
      </c>
      <c r="E611">
        <v>18</v>
      </c>
      <c r="F611">
        <v>1550</v>
      </c>
      <c r="G611" t="s">
        <v>40</v>
      </c>
      <c r="H611">
        <v>27900</v>
      </c>
      <c r="I611">
        <v>18102.241657612551</v>
      </c>
      <c r="J611">
        <v>9797.7583423874494</v>
      </c>
    </row>
    <row r="612" spans="1:10" x14ac:dyDescent="0.35">
      <c r="A612" s="1">
        <v>45461</v>
      </c>
      <c r="B612" t="s">
        <v>12</v>
      </c>
      <c r="C612" t="s">
        <v>22</v>
      </c>
      <c r="D612" t="s">
        <v>36</v>
      </c>
      <c r="E612">
        <v>3</v>
      </c>
      <c r="F612">
        <v>215</v>
      </c>
      <c r="G612" t="s">
        <v>40</v>
      </c>
      <c r="H612">
        <v>645</v>
      </c>
      <c r="I612">
        <v>493.17369295980671</v>
      </c>
      <c r="J612">
        <v>151.82630704019331</v>
      </c>
    </row>
    <row r="613" spans="1:10" x14ac:dyDescent="0.35">
      <c r="A613" s="1">
        <v>45574</v>
      </c>
      <c r="B613" t="s">
        <v>12</v>
      </c>
      <c r="C613" t="s">
        <v>23</v>
      </c>
      <c r="D613" t="s">
        <v>32</v>
      </c>
      <c r="E613">
        <v>2</v>
      </c>
      <c r="F613">
        <v>1286</v>
      </c>
      <c r="G613" t="s">
        <v>39</v>
      </c>
      <c r="H613">
        <v>2572</v>
      </c>
      <c r="I613">
        <v>2204.8829487952689</v>
      </c>
      <c r="J613">
        <v>367.11705120473061</v>
      </c>
    </row>
    <row r="614" spans="1:10" x14ac:dyDescent="0.35">
      <c r="A614" s="1">
        <v>45413</v>
      </c>
      <c r="B614" t="s">
        <v>12</v>
      </c>
      <c r="C614" t="s">
        <v>19</v>
      </c>
      <c r="D614" t="s">
        <v>30</v>
      </c>
      <c r="E614">
        <v>1</v>
      </c>
      <c r="F614">
        <v>325</v>
      </c>
      <c r="G614" t="s">
        <v>40</v>
      </c>
      <c r="H614">
        <v>325</v>
      </c>
      <c r="I614">
        <v>245.13162830399119</v>
      </c>
      <c r="J614">
        <v>79.868371696008836</v>
      </c>
    </row>
    <row r="615" spans="1:10" x14ac:dyDescent="0.35">
      <c r="A615" s="1">
        <v>45485</v>
      </c>
      <c r="B615" t="s">
        <v>10</v>
      </c>
      <c r="C615" t="s">
        <v>23</v>
      </c>
      <c r="D615" t="s">
        <v>35</v>
      </c>
      <c r="E615">
        <v>10</v>
      </c>
      <c r="F615">
        <v>329</v>
      </c>
      <c r="G615" t="s">
        <v>39</v>
      </c>
      <c r="H615">
        <v>3290</v>
      </c>
      <c r="I615">
        <v>2648.6111610758098</v>
      </c>
      <c r="J615">
        <v>641.38883892418971</v>
      </c>
    </row>
    <row r="616" spans="1:10" x14ac:dyDescent="0.35">
      <c r="A616" s="1">
        <v>45296</v>
      </c>
      <c r="B616" t="s">
        <v>12</v>
      </c>
      <c r="C616" t="s">
        <v>20</v>
      </c>
      <c r="D616" t="s">
        <v>35</v>
      </c>
      <c r="E616">
        <v>19</v>
      </c>
      <c r="F616">
        <v>281</v>
      </c>
      <c r="G616" t="s">
        <v>38</v>
      </c>
      <c r="H616">
        <v>5339</v>
      </c>
      <c r="I616">
        <v>3323.924749914745</v>
      </c>
      <c r="J616">
        <v>2015.075250085255</v>
      </c>
    </row>
    <row r="617" spans="1:10" x14ac:dyDescent="0.35">
      <c r="A617" s="1">
        <v>45320</v>
      </c>
      <c r="B617" t="s">
        <v>13</v>
      </c>
      <c r="C617" t="s">
        <v>22</v>
      </c>
      <c r="D617" t="s">
        <v>36</v>
      </c>
      <c r="E617">
        <v>17</v>
      </c>
      <c r="F617">
        <v>1372</v>
      </c>
      <c r="G617" t="s">
        <v>40</v>
      </c>
      <c r="H617">
        <v>23324</v>
      </c>
      <c r="I617">
        <v>17136.181839107408</v>
      </c>
      <c r="J617">
        <v>6187.8181608925915</v>
      </c>
    </row>
    <row r="618" spans="1:10" x14ac:dyDescent="0.35">
      <c r="A618" s="1">
        <v>45456</v>
      </c>
      <c r="B618" t="s">
        <v>13</v>
      </c>
      <c r="C618" t="s">
        <v>21</v>
      </c>
      <c r="D618" t="s">
        <v>34</v>
      </c>
      <c r="E618">
        <v>12</v>
      </c>
      <c r="F618">
        <v>1441</v>
      </c>
      <c r="G618" t="s">
        <v>40</v>
      </c>
      <c r="H618">
        <v>17292</v>
      </c>
      <c r="I618">
        <v>10867.467795390219</v>
      </c>
      <c r="J618">
        <v>6424.5322046097754</v>
      </c>
    </row>
    <row r="619" spans="1:10" x14ac:dyDescent="0.35">
      <c r="A619" s="1">
        <v>45630</v>
      </c>
      <c r="B619" t="s">
        <v>10</v>
      </c>
      <c r="C619" t="s">
        <v>20</v>
      </c>
      <c r="D619" t="s">
        <v>36</v>
      </c>
      <c r="E619">
        <v>1</v>
      </c>
      <c r="F619">
        <v>309</v>
      </c>
      <c r="G619" t="s">
        <v>38</v>
      </c>
      <c r="H619">
        <v>309</v>
      </c>
      <c r="I619">
        <v>240.97009734542311</v>
      </c>
      <c r="J619">
        <v>68.029902654576887</v>
      </c>
    </row>
    <row r="620" spans="1:10" x14ac:dyDescent="0.35">
      <c r="A620" s="1">
        <v>45427</v>
      </c>
      <c r="B620" t="s">
        <v>13</v>
      </c>
      <c r="C620" t="s">
        <v>18</v>
      </c>
      <c r="D620" t="s">
        <v>37</v>
      </c>
      <c r="E620">
        <v>12</v>
      </c>
      <c r="F620">
        <v>1779</v>
      </c>
      <c r="G620" t="s">
        <v>39</v>
      </c>
      <c r="H620">
        <v>21348</v>
      </c>
      <c r="I620">
        <v>14608.7846147456</v>
      </c>
      <c r="J620">
        <v>6739.2153852543961</v>
      </c>
    </row>
    <row r="621" spans="1:10" x14ac:dyDescent="0.35">
      <c r="A621" s="1">
        <v>45656</v>
      </c>
      <c r="B621" t="s">
        <v>13</v>
      </c>
      <c r="C621" t="s">
        <v>18</v>
      </c>
      <c r="D621" t="s">
        <v>33</v>
      </c>
      <c r="E621">
        <v>17</v>
      </c>
      <c r="F621">
        <v>1515</v>
      </c>
      <c r="G621" t="s">
        <v>39</v>
      </c>
      <c r="H621">
        <v>25755</v>
      </c>
      <c r="I621">
        <v>17672.559443157741</v>
      </c>
      <c r="J621">
        <v>8082.440556842259</v>
      </c>
    </row>
    <row r="622" spans="1:10" x14ac:dyDescent="0.35">
      <c r="A622" s="1">
        <v>45612</v>
      </c>
      <c r="B622" t="s">
        <v>12</v>
      </c>
      <c r="C622" t="s">
        <v>24</v>
      </c>
      <c r="D622" t="s">
        <v>32</v>
      </c>
      <c r="E622">
        <v>3</v>
      </c>
      <c r="F622">
        <v>1980</v>
      </c>
      <c r="G622" t="s">
        <v>40</v>
      </c>
      <c r="H622">
        <v>5940</v>
      </c>
      <c r="I622">
        <v>3700.798325592355</v>
      </c>
      <c r="J622">
        <v>2239.201674407645</v>
      </c>
    </row>
    <row r="623" spans="1:10" x14ac:dyDescent="0.35">
      <c r="A623" s="1">
        <v>45633</v>
      </c>
      <c r="B623" t="s">
        <v>13</v>
      </c>
      <c r="C623" t="s">
        <v>17</v>
      </c>
      <c r="D623" t="s">
        <v>36</v>
      </c>
      <c r="E623">
        <v>11</v>
      </c>
      <c r="F623">
        <v>195</v>
      </c>
      <c r="G623" t="s">
        <v>38</v>
      </c>
      <c r="H623">
        <v>2145</v>
      </c>
      <c r="I623">
        <v>1486.6380638371129</v>
      </c>
      <c r="J623">
        <v>658.36193616288733</v>
      </c>
    </row>
    <row r="624" spans="1:10" x14ac:dyDescent="0.35">
      <c r="A624" s="1">
        <v>45436</v>
      </c>
      <c r="B624" t="s">
        <v>10</v>
      </c>
      <c r="C624" t="s">
        <v>20</v>
      </c>
      <c r="D624" t="s">
        <v>33</v>
      </c>
      <c r="E624">
        <v>17</v>
      </c>
      <c r="F624">
        <v>993</v>
      </c>
      <c r="G624" t="s">
        <v>38</v>
      </c>
      <c r="H624">
        <v>16881</v>
      </c>
      <c r="I624">
        <v>12694.56522802347</v>
      </c>
      <c r="J624">
        <v>4186.4347719765283</v>
      </c>
    </row>
    <row r="625" spans="1:10" x14ac:dyDescent="0.35">
      <c r="A625" s="1">
        <v>45618</v>
      </c>
      <c r="B625" t="s">
        <v>50</v>
      </c>
      <c r="C625" t="s">
        <v>17</v>
      </c>
      <c r="D625" t="s">
        <v>37</v>
      </c>
      <c r="E625">
        <v>3</v>
      </c>
      <c r="F625">
        <v>-50</v>
      </c>
      <c r="G625" t="s">
        <v>38</v>
      </c>
      <c r="H625">
        <v>-150</v>
      </c>
      <c r="I625">
        <v>-116.3097046427293</v>
      </c>
      <c r="J625">
        <v>-33.690295357270728</v>
      </c>
    </row>
    <row r="626" spans="1:10" x14ac:dyDescent="0.35">
      <c r="A626" s="1">
        <v>45508</v>
      </c>
      <c r="B626" t="s">
        <v>11</v>
      </c>
      <c r="C626" t="s">
        <v>23</v>
      </c>
      <c r="D626" t="s">
        <v>30</v>
      </c>
      <c r="E626">
        <v>8</v>
      </c>
      <c r="F626">
        <v>855</v>
      </c>
      <c r="G626" t="s">
        <v>39</v>
      </c>
      <c r="H626">
        <v>6840</v>
      </c>
      <c r="I626">
        <v>4240.7977112179897</v>
      </c>
      <c r="J626">
        <v>2599.2022887820099</v>
      </c>
    </row>
    <row r="627" spans="1:10" x14ac:dyDescent="0.35">
      <c r="A627" s="1">
        <v>45592</v>
      </c>
      <c r="B627" t="s">
        <v>12</v>
      </c>
      <c r="C627" t="s">
        <v>20</v>
      </c>
      <c r="D627" t="s">
        <v>30</v>
      </c>
      <c r="E627">
        <v>4</v>
      </c>
      <c r="F627">
        <v>1209</v>
      </c>
      <c r="G627" t="s">
        <v>38</v>
      </c>
      <c r="H627">
        <v>4836</v>
      </c>
      <c r="I627">
        <v>3846.7369866368749</v>
      </c>
      <c r="J627">
        <v>989.26301336312508</v>
      </c>
    </row>
    <row r="628" spans="1:10" x14ac:dyDescent="0.35">
      <c r="A628" s="1">
        <v>45423</v>
      </c>
      <c r="B628" t="s">
        <v>10</v>
      </c>
      <c r="C628" t="s">
        <v>23</v>
      </c>
      <c r="D628" t="s">
        <v>33</v>
      </c>
      <c r="E628">
        <v>7</v>
      </c>
      <c r="F628">
        <v>514</v>
      </c>
      <c r="G628" t="s">
        <v>39</v>
      </c>
      <c r="H628">
        <v>3598</v>
      </c>
      <c r="I628">
        <v>2686.492496157322</v>
      </c>
      <c r="J628">
        <v>911.50750384267803</v>
      </c>
    </row>
    <row r="629" spans="1:10" x14ac:dyDescent="0.35">
      <c r="A629" s="1">
        <v>45583</v>
      </c>
      <c r="B629" t="s">
        <v>12</v>
      </c>
      <c r="C629" t="s">
        <v>24</v>
      </c>
      <c r="D629" t="s">
        <v>36</v>
      </c>
      <c r="E629">
        <v>14</v>
      </c>
      <c r="F629">
        <v>493</v>
      </c>
      <c r="G629" t="s">
        <v>40</v>
      </c>
      <c r="H629">
        <v>6902</v>
      </c>
      <c r="I629">
        <v>5252.9217211872146</v>
      </c>
      <c r="J629">
        <v>1649.0782788127849</v>
      </c>
    </row>
    <row r="630" spans="1:10" x14ac:dyDescent="0.35">
      <c r="A630" s="1">
        <v>45361</v>
      </c>
      <c r="B630" t="s">
        <v>12</v>
      </c>
      <c r="C630" t="s">
        <v>22</v>
      </c>
      <c r="D630" t="s">
        <v>35</v>
      </c>
      <c r="E630">
        <v>14</v>
      </c>
      <c r="F630">
        <v>795</v>
      </c>
      <c r="G630" t="s">
        <v>40</v>
      </c>
      <c r="H630">
        <v>11130</v>
      </c>
      <c r="I630">
        <v>9458.7080937106675</v>
      </c>
      <c r="J630">
        <v>1671.291906289332</v>
      </c>
    </row>
    <row r="631" spans="1:10" x14ac:dyDescent="0.35">
      <c r="A631" s="1">
        <v>45543</v>
      </c>
      <c r="B631" t="s">
        <v>10</v>
      </c>
      <c r="C631" t="s">
        <v>18</v>
      </c>
      <c r="D631" t="s">
        <v>32</v>
      </c>
      <c r="E631">
        <v>4</v>
      </c>
      <c r="F631">
        <v>1756</v>
      </c>
      <c r="G631" t="s">
        <v>39</v>
      </c>
      <c r="H631">
        <v>7024</v>
      </c>
      <c r="I631">
        <v>4935.5395655464145</v>
      </c>
      <c r="J631">
        <v>2088.460434453586</v>
      </c>
    </row>
    <row r="632" spans="1:10" x14ac:dyDescent="0.35">
      <c r="A632" s="1">
        <v>45566</v>
      </c>
      <c r="B632" t="s">
        <v>12</v>
      </c>
      <c r="C632" t="s">
        <v>24</v>
      </c>
      <c r="D632" t="s">
        <v>32</v>
      </c>
      <c r="E632">
        <v>16</v>
      </c>
      <c r="F632">
        <v>943</v>
      </c>
      <c r="G632" t="s">
        <v>40</v>
      </c>
      <c r="H632">
        <v>15088</v>
      </c>
      <c r="I632">
        <v>9840.6249504826937</v>
      </c>
      <c r="J632">
        <v>5247.3750495173063</v>
      </c>
    </row>
    <row r="633" spans="1:10" x14ac:dyDescent="0.35">
      <c r="A633" s="1">
        <v>45655</v>
      </c>
      <c r="B633" t="s">
        <v>10</v>
      </c>
      <c r="C633" t="s">
        <v>18</v>
      </c>
      <c r="D633" t="s">
        <v>30</v>
      </c>
      <c r="E633">
        <v>1</v>
      </c>
      <c r="F633">
        <v>1624</v>
      </c>
      <c r="G633" t="s">
        <v>39</v>
      </c>
      <c r="H633">
        <v>1624</v>
      </c>
      <c r="I633">
        <v>1243.241917604428</v>
      </c>
      <c r="J633">
        <v>380.75808239557199</v>
      </c>
    </row>
    <row r="634" spans="1:10" x14ac:dyDescent="0.35">
      <c r="A634" s="1">
        <v>45473</v>
      </c>
      <c r="B634" t="s">
        <v>10</v>
      </c>
      <c r="C634" t="s">
        <v>22</v>
      </c>
      <c r="D634" t="s">
        <v>30</v>
      </c>
      <c r="E634">
        <v>17</v>
      </c>
      <c r="F634">
        <v>703</v>
      </c>
      <c r="G634" t="s">
        <v>40</v>
      </c>
      <c r="H634">
        <v>11951</v>
      </c>
      <c r="I634">
        <v>10558.78708093909</v>
      </c>
      <c r="J634">
        <v>1392.212919060908</v>
      </c>
    </row>
    <row r="635" spans="1:10" x14ac:dyDescent="0.35">
      <c r="A635" s="1">
        <v>45458</v>
      </c>
      <c r="B635" t="s">
        <v>11</v>
      </c>
      <c r="C635" t="s">
        <v>23</v>
      </c>
      <c r="D635" t="s">
        <v>35</v>
      </c>
      <c r="E635">
        <v>10</v>
      </c>
      <c r="F635">
        <v>681</v>
      </c>
      <c r="G635" t="s">
        <v>39</v>
      </c>
      <c r="H635">
        <v>6810</v>
      </c>
      <c r="I635">
        <v>5144.0076319870514</v>
      </c>
      <c r="J635">
        <v>1665.9923680129491</v>
      </c>
    </row>
    <row r="636" spans="1:10" x14ac:dyDescent="0.35">
      <c r="A636" s="1">
        <v>45382</v>
      </c>
      <c r="B636" t="s">
        <v>13</v>
      </c>
      <c r="C636" t="s">
        <v>22</v>
      </c>
      <c r="D636" t="s">
        <v>34</v>
      </c>
      <c r="E636">
        <v>16</v>
      </c>
      <c r="F636">
        <v>232</v>
      </c>
      <c r="G636" t="s">
        <v>40</v>
      </c>
      <c r="H636">
        <v>3712</v>
      </c>
      <c r="I636">
        <v>3153.6173970994819</v>
      </c>
      <c r="J636">
        <v>558.38260290051767</v>
      </c>
    </row>
    <row r="637" spans="1:10" x14ac:dyDescent="0.35">
      <c r="A637" s="1">
        <v>45493</v>
      </c>
      <c r="B637" t="s">
        <v>13</v>
      </c>
      <c r="C637" t="s">
        <v>18</v>
      </c>
      <c r="D637" t="s">
        <v>36</v>
      </c>
      <c r="E637">
        <v>16</v>
      </c>
      <c r="F637">
        <v>890</v>
      </c>
      <c r="G637" t="s">
        <v>39</v>
      </c>
      <c r="H637">
        <v>14240</v>
      </c>
      <c r="I637">
        <v>11778.04093665753</v>
      </c>
      <c r="J637">
        <v>2461.9590633424668</v>
      </c>
    </row>
    <row r="638" spans="1:10" x14ac:dyDescent="0.35">
      <c r="A638" s="1">
        <v>45637</v>
      </c>
      <c r="B638" t="s">
        <v>12</v>
      </c>
      <c r="C638" t="s">
        <v>18</v>
      </c>
      <c r="D638" t="s">
        <v>30</v>
      </c>
      <c r="E638">
        <v>8</v>
      </c>
      <c r="F638">
        <v>748</v>
      </c>
      <c r="G638" t="s">
        <v>39</v>
      </c>
      <c r="H638">
        <v>5984</v>
      </c>
      <c r="I638">
        <v>4520.9074288400498</v>
      </c>
      <c r="J638">
        <v>1463.09257115995</v>
      </c>
    </row>
    <row r="639" spans="1:10" x14ac:dyDescent="0.35">
      <c r="A639" s="1">
        <v>45310</v>
      </c>
      <c r="B639" t="s">
        <v>12</v>
      </c>
      <c r="C639" t="s">
        <v>17</v>
      </c>
      <c r="D639" t="s">
        <v>30</v>
      </c>
      <c r="E639">
        <v>7</v>
      </c>
      <c r="F639">
        <v>1437</v>
      </c>
      <c r="G639" t="s">
        <v>38</v>
      </c>
      <c r="H639">
        <v>10059</v>
      </c>
      <c r="I639">
        <v>7989.5260525247331</v>
      </c>
      <c r="J639">
        <v>2069.4739474752669</v>
      </c>
    </row>
    <row r="640" spans="1:10" x14ac:dyDescent="0.35">
      <c r="A640" s="1">
        <v>45330</v>
      </c>
      <c r="B640" t="s">
        <v>11</v>
      </c>
      <c r="C640" t="s">
        <v>21</v>
      </c>
      <c r="D640" t="s">
        <v>30</v>
      </c>
      <c r="E640">
        <v>6</v>
      </c>
      <c r="F640">
        <v>1822</v>
      </c>
      <c r="G640" t="s">
        <v>40</v>
      </c>
      <c r="H640">
        <v>10932</v>
      </c>
      <c r="I640">
        <v>7892.9483317634013</v>
      </c>
      <c r="J640">
        <v>3039.0516682365992</v>
      </c>
    </row>
    <row r="641" spans="1:10" x14ac:dyDescent="0.35">
      <c r="A641" s="1">
        <v>45417</v>
      </c>
      <c r="B641" t="s">
        <v>11</v>
      </c>
      <c r="C641" t="s">
        <v>24</v>
      </c>
      <c r="D641" t="s">
        <v>32</v>
      </c>
      <c r="E641">
        <v>16</v>
      </c>
      <c r="F641">
        <v>320</v>
      </c>
      <c r="G641" t="s">
        <v>40</v>
      </c>
      <c r="H641">
        <v>5120</v>
      </c>
      <c r="I641">
        <v>3887.045666453289</v>
      </c>
      <c r="J641">
        <v>1232.954333546711</v>
      </c>
    </row>
    <row r="642" spans="1:10" x14ac:dyDescent="0.35">
      <c r="A642" s="1">
        <v>45464</v>
      </c>
      <c r="B642" t="s">
        <v>11</v>
      </c>
      <c r="C642" t="s">
        <v>20</v>
      </c>
      <c r="D642" t="s">
        <v>36</v>
      </c>
      <c r="E642">
        <v>16</v>
      </c>
      <c r="F642">
        <v>1075</v>
      </c>
      <c r="G642" t="s">
        <v>38</v>
      </c>
      <c r="H642">
        <v>17200</v>
      </c>
      <c r="I642">
        <v>12937.594497299669</v>
      </c>
      <c r="J642">
        <v>4262.4055027003251</v>
      </c>
    </row>
    <row r="643" spans="1:10" x14ac:dyDescent="0.35">
      <c r="A643" s="1">
        <v>45432</v>
      </c>
      <c r="B643" t="s">
        <v>10</v>
      </c>
      <c r="C643" t="s">
        <v>18</v>
      </c>
      <c r="D643" t="s">
        <v>37</v>
      </c>
      <c r="E643">
        <v>7</v>
      </c>
      <c r="F643">
        <v>1561</v>
      </c>
      <c r="G643" t="s">
        <v>39</v>
      </c>
      <c r="H643">
        <v>10927</v>
      </c>
      <c r="I643">
        <v>8880.7346808118764</v>
      </c>
      <c r="J643">
        <v>2046.2653191881241</v>
      </c>
    </row>
    <row r="644" spans="1:10" x14ac:dyDescent="0.35">
      <c r="A644" s="1">
        <v>45533</v>
      </c>
      <c r="B644" t="s">
        <v>11</v>
      </c>
      <c r="C644" t="s">
        <v>24</v>
      </c>
      <c r="D644" t="s">
        <v>36</v>
      </c>
      <c r="E644">
        <v>9</v>
      </c>
      <c r="F644">
        <v>1169</v>
      </c>
      <c r="G644" t="s">
        <v>40</v>
      </c>
      <c r="H644">
        <v>10521</v>
      </c>
      <c r="I644">
        <v>7606.6240382842352</v>
      </c>
      <c r="J644">
        <v>2914.3759617157648</v>
      </c>
    </row>
    <row r="645" spans="1:10" x14ac:dyDescent="0.35">
      <c r="A645" s="1">
        <v>45511</v>
      </c>
      <c r="B645" t="s">
        <v>11</v>
      </c>
      <c r="C645" t="s">
        <v>17</v>
      </c>
      <c r="D645" t="s">
        <v>33</v>
      </c>
      <c r="F645">
        <v>1913</v>
      </c>
      <c r="G645" t="s">
        <v>38</v>
      </c>
    </row>
    <row r="646" spans="1:10" x14ac:dyDescent="0.35">
      <c r="A646" s="1">
        <v>45417</v>
      </c>
      <c r="B646" t="s">
        <v>12</v>
      </c>
      <c r="C646" t="s">
        <v>22</v>
      </c>
      <c r="D646" t="s">
        <v>35</v>
      </c>
      <c r="E646">
        <v>11</v>
      </c>
      <c r="F646">
        <v>1315</v>
      </c>
      <c r="G646" t="s">
        <v>40</v>
      </c>
      <c r="H646">
        <v>14465</v>
      </c>
      <c r="I646">
        <v>12101.60497424972</v>
      </c>
      <c r="J646">
        <v>2363.395025750282</v>
      </c>
    </row>
    <row r="647" spans="1:10" x14ac:dyDescent="0.35">
      <c r="A647" s="1">
        <v>45349</v>
      </c>
      <c r="B647" t="s">
        <v>11</v>
      </c>
      <c r="C647" t="s">
        <v>17</v>
      </c>
      <c r="D647" t="s">
        <v>34</v>
      </c>
      <c r="E647">
        <v>14</v>
      </c>
      <c r="F647">
        <v>1643</v>
      </c>
      <c r="G647" t="s">
        <v>38</v>
      </c>
      <c r="H647">
        <v>23002</v>
      </c>
      <c r="I647">
        <v>18527.096634766629</v>
      </c>
      <c r="J647">
        <v>4474.903365233371</v>
      </c>
    </row>
    <row r="648" spans="1:10" x14ac:dyDescent="0.35">
      <c r="A648" s="1">
        <v>45439</v>
      </c>
      <c r="B648" t="s">
        <v>10</v>
      </c>
      <c r="C648" t="s">
        <v>19</v>
      </c>
      <c r="D648" t="s">
        <v>30</v>
      </c>
      <c r="E648">
        <v>7</v>
      </c>
      <c r="F648">
        <v>1502</v>
      </c>
      <c r="G648" t="s">
        <v>40</v>
      </c>
      <c r="H648">
        <v>10514</v>
      </c>
      <c r="I648">
        <v>9305.2794032036218</v>
      </c>
      <c r="J648">
        <v>1208.720596796378</v>
      </c>
    </row>
    <row r="649" spans="1:10" x14ac:dyDescent="0.35">
      <c r="A649" s="1">
        <v>45608</v>
      </c>
      <c r="B649" t="s">
        <v>10</v>
      </c>
      <c r="C649" t="s">
        <v>19</v>
      </c>
      <c r="D649" t="s">
        <v>30</v>
      </c>
      <c r="E649">
        <v>1</v>
      </c>
      <c r="F649">
        <v>887</v>
      </c>
      <c r="G649" t="s">
        <v>40</v>
      </c>
      <c r="H649">
        <v>887</v>
      </c>
      <c r="I649">
        <v>646.28137439311627</v>
      </c>
      <c r="J649">
        <v>240.71862560688371</v>
      </c>
    </row>
    <row r="650" spans="1:10" x14ac:dyDescent="0.35">
      <c r="A650" s="1">
        <v>45652</v>
      </c>
      <c r="B650" t="s">
        <v>12</v>
      </c>
      <c r="C650" t="s">
        <v>20</v>
      </c>
      <c r="D650" t="s">
        <v>36</v>
      </c>
      <c r="E650">
        <v>13</v>
      </c>
      <c r="F650">
        <v>790</v>
      </c>
      <c r="G650" t="s">
        <v>38</v>
      </c>
      <c r="H650">
        <v>10270</v>
      </c>
      <c r="I650">
        <v>6402.9516289430831</v>
      </c>
      <c r="J650">
        <v>3867.0483710569169</v>
      </c>
    </row>
    <row r="651" spans="1:10" x14ac:dyDescent="0.35">
      <c r="A651" s="1">
        <v>45292</v>
      </c>
      <c r="B651" t="s">
        <v>11</v>
      </c>
      <c r="C651" t="s">
        <v>17</v>
      </c>
      <c r="D651" t="s">
        <v>34</v>
      </c>
      <c r="E651">
        <v>3</v>
      </c>
      <c r="F651">
        <v>1457</v>
      </c>
      <c r="G651" t="s">
        <v>38</v>
      </c>
      <c r="H651">
        <v>4371</v>
      </c>
      <c r="I651">
        <v>2782.0789768181198</v>
      </c>
      <c r="J651">
        <v>1588.9210231818799</v>
      </c>
    </row>
    <row r="652" spans="1:10" x14ac:dyDescent="0.35">
      <c r="A652" s="1">
        <v>45639</v>
      </c>
      <c r="B652" t="s">
        <v>11</v>
      </c>
      <c r="C652" t="s">
        <v>23</v>
      </c>
      <c r="D652" t="s">
        <v>30</v>
      </c>
      <c r="E652">
        <v>4</v>
      </c>
      <c r="F652">
        <v>138</v>
      </c>
      <c r="G652" t="s">
        <v>39</v>
      </c>
      <c r="H652">
        <v>552</v>
      </c>
      <c r="I652">
        <v>459.26171635442972</v>
      </c>
      <c r="J652">
        <v>92.738283645570277</v>
      </c>
    </row>
    <row r="653" spans="1:10" x14ac:dyDescent="0.35">
      <c r="A653" s="1">
        <v>45481</v>
      </c>
      <c r="B653" t="s">
        <v>10</v>
      </c>
      <c r="C653" t="s">
        <v>20</v>
      </c>
      <c r="D653" t="s">
        <v>34</v>
      </c>
      <c r="E653">
        <v>11</v>
      </c>
      <c r="F653">
        <v>1416</v>
      </c>
      <c r="G653" t="s">
        <v>38</v>
      </c>
      <c r="H653">
        <v>15576</v>
      </c>
      <c r="I653">
        <v>9662.2162309678497</v>
      </c>
      <c r="J653">
        <v>5913.7837690321503</v>
      </c>
    </row>
    <row r="654" spans="1:10" x14ac:dyDescent="0.35">
      <c r="A654" s="1">
        <v>45482</v>
      </c>
      <c r="B654" t="s">
        <v>11</v>
      </c>
      <c r="C654" t="s">
        <v>23</v>
      </c>
      <c r="D654" t="s">
        <v>37</v>
      </c>
      <c r="E654">
        <v>2</v>
      </c>
      <c r="F654">
        <v>789</v>
      </c>
      <c r="G654" t="s">
        <v>39</v>
      </c>
      <c r="H654">
        <v>1578</v>
      </c>
      <c r="I654">
        <v>1376.564897009524</v>
      </c>
      <c r="J654">
        <v>201.43510299047631</v>
      </c>
    </row>
    <row r="655" spans="1:10" x14ac:dyDescent="0.35">
      <c r="A655" s="1">
        <v>45603</v>
      </c>
      <c r="B655" t="s">
        <v>11</v>
      </c>
      <c r="C655" t="s">
        <v>20</v>
      </c>
      <c r="D655" t="s">
        <v>31</v>
      </c>
      <c r="E655">
        <v>14</v>
      </c>
      <c r="F655">
        <v>261</v>
      </c>
      <c r="G655" t="s">
        <v>38</v>
      </c>
      <c r="H655">
        <v>3654</v>
      </c>
      <c r="I655">
        <v>2501.1448520017821</v>
      </c>
      <c r="J655">
        <v>1152.8551479982179</v>
      </c>
    </row>
    <row r="656" spans="1:10" x14ac:dyDescent="0.35">
      <c r="A656" s="1">
        <v>45408</v>
      </c>
      <c r="B656" t="s">
        <v>11</v>
      </c>
      <c r="C656" t="s">
        <v>19</v>
      </c>
      <c r="D656" t="s">
        <v>35</v>
      </c>
      <c r="E656">
        <v>12</v>
      </c>
      <c r="F656">
        <v>1454</v>
      </c>
      <c r="G656" t="s">
        <v>40</v>
      </c>
      <c r="H656">
        <v>17448</v>
      </c>
      <c r="I656">
        <v>15173.892450008419</v>
      </c>
      <c r="J656">
        <v>2274.1075499915819</v>
      </c>
    </row>
    <row r="657" spans="1:10" x14ac:dyDescent="0.35">
      <c r="A657" s="1">
        <v>45425</v>
      </c>
      <c r="B657" t="s">
        <v>13</v>
      </c>
      <c r="C657" t="s">
        <v>20</v>
      </c>
      <c r="D657" t="s">
        <v>34</v>
      </c>
      <c r="E657">
        <v>17</v>
      </c>
      <c r="F657">
        <v>1227</v>
      </c>
      <c r="G657" t="s">
        <v>38</v>
      </c>
      <c r="H657">
        <v>20859</v>
      </c>
      <c r="I657">
        <v>17355.77380774168</v>
      </c>
      <c r="J657">
        <v>3503.2261922583202</v>
      </c>
    </row>
    <row r="658" spans="1:10" x14ac:dyDescent="0.35">
      <c r="A658" s="1">
        <v>45349</v>
      </c>
      <c r="B658" t="s">
        <v>12</v>
      </c>
      <c r="C658" t="s">
        <v>19</v>
      </c>
      <c r="D658" t="s">
        <v>32</v>
      </c>
      <c r="E658">
        <v>12</v>
      </c>
      <c r="F658">
        <v>260</v>
      </c>
      <c r="G658" t="s">
        <v>40</v>
      </c>
      <c r="H658">
        <v>3120</v>
      </c>
      <c r="I658">
        <v>2687.4441699690219</v>
      </c>
      <c r="J658">
        <v>432.55583003097809</v>
      </c>
    </row>
    <row r="659" spans="1:10" x14ac:dyDescent="0.35">
      <c r="A659" s="1">
        <v>45335</v>
      </c>
      <c r="B659" t="s">
        <v>13</v>
      </c>
      <c r="C659" t="s">
        <v>18</v>
      </c>
      <c r="D659" t="s">
        <v>33</v>
      </c>
      <c r="E659">
        <v>12</v>
      </c>
      <c r="F659">
        <v>1922</v>
      </c>
      <c r="G659" t="s">
        <v>39</v>
      </c>
      <c r="H659">
        <v>23064</v>
      </c>
      <c r="I659">
        <v>15319.383435294751</v>
      </c>
      <c r="J659">
        <v>7744.616564705253</v>
      </c>
    </row>
    <row r="660" spans="1:10" x14ac:dyDescent="0.35">
      <c r="A660" s="1">
        <v>45464</v>
      </c>
      <c r="B660" t="s">
        <v>12</v>
      </c>
      <c r="C660" t="s">
        <v>22</v>
      </c>
      <c r="D660" t="s">
        <v>32</v>
      </c>
      <c r="E660">
        <v>1</v>
      </c>
      <c r="F660">
        <v>1758</v>
      </c>
      <c r="G660" t="s">
        <v>40</v>
      </c>
      <c r="H660">
        <v>1758</v>
      </c>
      <c r="I660">
        <v>1368.968749692076</v>
      </c>
      <c r="J660">
        <v>389.03125030792398</v>
      </c>
    </row>
    <row r="661" spans="1:10" x14ac:dyDescent="0.35">
      <c r="A661" s="1">
        <v>45451</v>
      </c>
      <c r="B661" t="s">
        <v>10</v>
      </c>
      <c r="C661" t="s">
        <v>23</v>
      </c>
      <c r="D661" t="s">
        <v>30</v>
      </c>
      <c r="E661">
        <v>13</v>
      </c>
      <c r="F661">
        <v>1177</v>
      </c>
      <c r="G661" t="s">
        <v>39</v>
      </c>
      <c r="H661">
        <v>15301</v>
      </c>
      <c r="I661">
        <v>9610.2021929520397</v>
      </c>
      <c r="J661">
        <v>5690.7978070479603</v>
      </c>
    </row>
    <row r="662" spans="1:10" x14ac:dyDescent="0.35">
      <c r="A662" s="1">
        <v>45464</v>
      </c>
      <c r="B662" t="s">
        <v>11</v>
      </c>
      <c r="C662" t="s">
        <v>17</v>
      </c>
      <c r="D662" t="s">
        <v>37</v>
      </c>
      <c r="E662">
        <v>14</v>
      </c>
      <c r="F662">
        <v>1157</v>
      </c>
      <c r="G662" t="s">
        <v>38</v>
      </c>
      <c r="H662">
        <v>16198</v>
      </c>
      <c r="I662">
        <v>10701.76316178084</v>
      </c>
      <c r="J662">
        <v>5496.2368382191562</v>
      </c>
    </row>
    <row r="663" spans="1:10" x14ac:dyDescent="0.35">
      <c r="A663" s="1">
        <v>45608</v>
      </c>
      <c r="B663" t="s">
        <v>12</v>
      </c>
      <c r="C663" t="s">
        <v>18</v>
      </c>
      <c r="D663" t="s">
        <v>37</v>
      </c>
      <c r="E663">
        <v>2</v>
      </c>
      <c r="F663">
        <v>341</v>
      </c>
      <c r="G663" t="s">
        <v>39</v>
      </c>
      <c r="H663">
        <v>682</v>
      </c>
      <c r="I663">
        <v>472.60599571320512</v>
      </c>
      <c r="J663">
        <v>209.39400428679491</v>
      </c>
    </row>
    <row r="664" spans="1:10" x14ac:dyDescent="0.35">
      <c r="A664" s="1">
        <v>45594</v>
      </c>
      <c r="B664" t="s">
        <v>13</v>
      </c>
      <c r="C664" t="s">
        <v>18</v>
      </c>
      <c r="D664" t="s">
        <v>32</v>
      </c>
      <c r="E664">
        <v>12</v>
      </c>
      <c r="F664">
        <v>1066</v>
      </c>
      <c r="G664" t="s">
        <v>39</v>
      </c>
      <c r="H664">
        <v>12792</v>
      </c>
      <c r="I664">
        <v>10518.14240117886</v>
      </c>
      <c r="J664">
        <v>2273.857598821136</v>
      </c>
    </row>
    <row r="665" spans="1:10" x14ac:dyDescent="0.35">
      <c r="A665" s="1">
        <v>45440</v>
      </c>
      <c r="B665" t="s">
        <v>11</v>
      </c>
      <c r="C665" t="s">
        <v>20</v>
      </c>
      <c r="D665" t="s">
        <v>35</v>
      </c>
      <c r="E665">
        <v>16</v>
      </c>
      <c r="F665">
        <v>989</v>
      </c>
      <c r="G665" t="s">
        <v>38</v>
      </c>
      <c r="H665">
        <v>15824</v>
      </c>
      <c r="I665">
        <v>9611.7241018330078</v>
      </c>
      <c r="J665">
        <v>6212.2758981669922</v>
      </c>
    </row>
    <row r="666" spans="1:10" x14ac:dyDescent="0.35">
      <c r="A666" s="1">
        <v>45371</v>
      </c>
      <c r="B666" t="s">
        <v>10</v>
      </c>
      <c r="C666" t="s">
        <v>19</v>
      </c>
      <c r="D666" t="s">
        <v>32</v>
      </c>
      <c r="E666">
        <v>4</v>
      </c>
      <c r="F666">
        <v>212</v>
      </c>
      <c r="G666" t="s">
        <v>40</v>
      </c>
      <c r="H666">
        <v>848</v>
      </c>
      <c r="I666">
        <v>738.55303676267147</v>
      </c>
      <c r="J666">
        <v>109.4469632373285</v>
      </c>
    </row>
    <row r="667" spans="1:10" x14ac:dyDescent="0.35">
      <c r="A667" s="1">
        <v>45504</v>
      </c>
      <c r="B667" t="s">
        <v>12</v>
      </c>
      <c r="C667" t="s">
        <v>24</v>
      </c>
      <c r="D667" t="s">
        <v>36</v>
      </c>
      <c r="E667">
        <v>8</v>
      </c>
      <c r="F667">
        <v>1113</v>
      </c>
      <c r="G667" t="s">
        <v>40</v>
      </c>
      <c r="H667">
        <v>8904</v>
      </c>
      <c r="I667">
        <v>5531.5303458299568</v>
      </c>
      <c r="J667">
        <v>3372.4696541700432</v>
      </c>
    </row>
    <row r="668" spans="1:10" x14ac:dyDescent="0.35">
      <c r="A668" s="1">
        <v>45494</v>
      </c>
      <c r="B668" t="s">
        <v>12</v>
      </c>
      <c r="C668" t="s">
        <v>23</v>
      </c>
      <c r="D668" t="s">
        <v>30</v>
      </c>
      <c r="E668">
        <v>2</v>
      </c>
      <c r="F668">
        <v>417</v>
      </c>
      <c r="G668" t="s">
        <v>39</v>
      </c>
      <c r="H668">
        <v>834</v>
      </c>
      <c r="I668">
        <v>594.59784687522574</v>
      </c>
      <c r="J668">
        <v>239.40215312477429</v>
      </c>
    </row>
    <row r="669" spans="1:10" x14ac:dyDescent="0.35">
      <c r="A669" s="1">
        <v>45543</v>
      </c>
      <c r="B669" t="s">
        <v>12</v>
      </c>
      <c r="C669" t="s">
        <v>18</v>
      </c>
      <c r="D669" t="s">
        <v>30</v>
      </c>
      <c r="E669">
        <v>10</v>
      </c>
      <c r="F669">
        <v>122</v>
      </c>
      <c r="G669" t="s">
        <v>39</v>
      </c>
      <c r="H669">
        <v>1220</v>
      </c>
      <c r="I669">
        <v>761.67880396826172</v>
      </c>
      <c r="J669">
        <v>458.32119603173828</v>
      </c>
    </row>
    <row r="670" spans="1:10" x14ac:dyDescent="0.35">
      <c r="A670" s="1">
        <v>45520</v>
      </c>
      <c r="B670" t="s">
        <v>11</v>
      </c>
      <c r="C670" t="s">
        <v>20</v>
      </c>
      <c r="D670" t="s">
        <v>32</v>
      </c>
      <c r="E670">
        <v>9</v>
      </c>
      <c r="F670">
        <v>1681</v>
      </c>
      <c r="G670" t="s">
        <v>38</v>
      </c>
      <c r="H670">
        <v>15129</v>
      </c>
      <c r="I670">
        <v>12567.51434949328</v>
      </c>
      <c r="J670">
        <v>2561.4856505067178</v>
      </c>
    </row>
    <row r="671" spans="1:10" x14ac:dyDescent="0.35">
      <c r="A671" s="1">
        <v>45455</v>
      </c>
      <c r="B671" t="s">
        <v>13</v>
      </c>
      <c r="C671" t="s">
        <v>21</v>
      </c>
      <c r="D671" t="s">
        <v>33</v>
      </c>
      <c r="E671">
        <v>15</v>
      </c>
      <c r="F671">
        <v>923</v>
      </c>
      <c r="G671" t="s">
        <v>40</v>
      </c>
      <c r="H671">
        <v>13845</v>
      </c>
      <c r="I671">
        <v>8893.9517420283501</v>
      </c>
      <c r="J671">
        <v>4951.0482579716499</v>
      </c>
    </row>
    <row r="672" spans="1:10" x14ac:dyDescent="0.35">
      <c r="A672" s="1">
        <v>45518</v>
      </c>
      <c r="B672" t="s">
        <v>13</v>
      </c>
      <c r="C672" t="s">
        <v>22</v>
      </c>
      <c r="D672" t="s">
        <v>33</v>
      </c>
      <c r="E672">
        <v>13</v>
      </c>
      <c r="F672">
        <v>1770</v>
      </c>
      <c r="G672" t="s">
        <v>40</v>
      </c>
      <c r="H672">
        <v>23010</v>
      </c>
      <c r="I672">
        <v>19913.476951541739</v>
      </c>
      <c r="J672">
        <v>3096.5230484582571</v>
      </c>
    </row>
    <row r="673" spans="1:10" x14ac:dyDescent="0.35">
      <c r="A673" s="1">
        <v>45438</v>
      </c>
      <c r="B673" t="s">
        <v>12</v>
      </c>
      <c r="C673" t="s">
        <v>22</v>
      </c>
      <c r="D673" t="s">
        <v>30</v>
      </c>
      <c r="E673">
        <v>17</v>
      </c>
      <c r="F673">
        <v>1241</v>
      </c>
      <c r="G673" t="s">
        <v>40</v>
      </c>
      <c r="H673">
        <v>21097</v>
      </c>
      <c r="I673">
        <v>16014.02797533643</v>
      </c>
      <c r="J673">
        <v>5082.9720246635716</v>
      </c>
    </row>
    <row r="674" spans="1:10" x14ac:dyDescent="0.35">
      <c r="A674" s="1">
        <v>45311</v>
      </c>
      <c r="B674" t="s">
        <v>10</v>
      </c>
      <c r="C674" t="s">
        <v>24</v>
      </c>
      <c r="D674" t="s">
        <v>31</v>
      </c>
      <c r="E674">
        <v>16</v>
      </c>
      <c r="F674">
        <v>800</v>
      </c>
      <c r="G674" t="s">
        <v>40</v>
      </c>
      <c r="H674">
        <v>12800</v>
      </c>
      <c r="I674">
        <v>11322.135626708719</v>
      </c>
      <c r="J674">
        <v>1477.864373291281</v>
      </c>
    </row>
    <row r="675" spans="1:10" x14ac:dyDescent="0.35">
      <c r="A675" s="1">
        <v>45338</v>
      </c>
      <c r="B675" t="s">
        <v>10</v>
      </c>
      <c r="C675" t="s">
        <v>19</v>
      </c>
      <c r="D675" t="s">
        <v>33</v>
      </c>
      <c r="E675">
        <v>2</v>
      </c>
      <c r="F675">
        <v>1766</v>
      </c>
      <c r="G675" t="s">
        <v>40</v>
      </c>
      <c r="H675">
        <v>3532</v>
      </c>
      <c r="I675">
        <v>2426.866423211563</v>
      </c>
      <c r="J675">
        <v>1105.133576788437</v>
      </c>
    </row>
    <row r="676" spans="1:10" x14ac:dyDescent="0.35">
      <c r="A676" s="1">
        <v>45524</v>
      </c>
      <c r="B676" t="s">
        <v>13</v>
      </c>
      <c r="C676" t="s">
        <v>20</v>
      </c>
      <c r="D676" t="s">
        <v>32</v>
      </c>
      <c r="E676">
        <v>14</v>
      </c>
      <c r="F676">
        <v>1118</v>
      </c>
      <c r="G676" t="s">
        <v>38</v>
      </c>
      <c r="H676">
        <v>15652</v>
      </c>
      <c r="I676">
        <v>11524.48692276017</v>
      </c>
      <c r="J676">
        <v>4127.5130772398261</v>
      </c>
    </row>
    <row r="677" spans="1:10" x14ac:dyDescent="0.35">
      <c r="A677" s="1">
        <v>45596</v>
      </c>
      <c r="B677" t="s">
        <v>10</v>
      </c>
      <c r="C677" t="s">
        <v>23</v>
      </c>
      <c r="D677" t="s">
        <v>33</v>
      </c>
      <c r="E677">
        <v>3</v>
      </c>
      <c r="F677">
        <v>1335</v>
      </c>
      <c r="G677" t="s">
        <v>39</v>
      </c>
      <c r="H677">
        <v>4005</v>
      </c>
      <c r="I677">
        <v>3237.137725238988</v>
      </c>
      <c r="J677">
        <v>767.86227476101203</v>
      </c>
    </row>
    <row r="678" spans="1:10" x14ac:dyDescent="0.35">
      <c r="A678" s="1">
        <v>45305</v>
      </c>
      <c r="B678" t="s">
        <v>13</v>
      </c>
      <c r="C678" t="s">
        <v>19</v>
      </c>
      <c r="D678" t="s">
        <v>30</v>
      </c>
      <c r="E678">
        <v>12</v>
      </c>
      <c r="F678">
        <v>1541</v>
      </c>
      <c r="G678" t="s">
        <v>40</v>
      </c>
      <c r="H678">
        <v>18492</v>
      </c>
      <c r="I678">
        <v>15710.322292818661</v>
      </c>
      <c r="J678">
        <v>2781.677707181339</v>
      </c>
    </row>
    <row r="679" spans="1:10" x14ac:dyDescent="0.35">
      <c r="A679" s="1">
        <v>45434</v>
      </c>
      <c r="B679" t="s">
        <v>12</v>
      </c>
      <c r="C679" t="s">
        <v>22</v>
      </c>
      <c r="D679" t="s">
        <v>35</v>
      </c>
      <c r="E679">
        <v>8</v>
      </c>
      <c r="F679">
        <v>1236</v>
      </c>
      <c r="G679" t="s">
        <v>40</v>
      </c>
      <c r="H679">
        <v>9888</v>
      </c>
      <c r="I679">
        <v>7182.7136650885677</v>
      </c>
      <c r="J679">
        <v>2705.2863349114318</v>
      </c>
    </row>
    <row r="680" spans="1:10" x14ac:dyDescent="0.35">
      <c r="A680" s="1">
        <v>45292</v>
      </c>
      <c r="B680" t="s">
        <v>13</v>
      </c>
      <c r="C680" t="s">
        <v>19</v>
      </c>
      <c r="D680" t="s">
        <v>34</v>
      </c>
      <c r="E680">
        <v>2</v>
      </c>
      <c r="F680">
        <v>1167</v>
      </c>
      <c r="G680" t="s">
        <v>40</v>
      </c>
      <c r="H680">
        <v>2334</v>
      </c>
      <c r="I680">
        <v>2025.28126333668</v>
      </c>
      <c r="J680">
        <v>308.71873666331948</v>
      </c>
    </row>
    <row r="681" spans="1:10" x14ac:dyDescent="0.35">
      <c r="A681" s="1">
        <v>45345</v>
      </c>
      <c r="B681" t="s">
        <v>13</v>
      </c>
      <c r="C681" t="s">
        <v>22</v>
      </c>
      <c r="D681" t="s">
        <v>33</v>
      </c>
      <c r="E681">
        <v>4</v>
      </c>
      <c r="G681" t="s">
        <v>40</v>
      </c>
    </row>
    <row r="682" spans="1:10" x14ac:dyDescent="0.35">
      <c r="A682" s="1">
        <v>45550</v>
      </c>
      <c r="B682" t="s">
        <v>12</v>
      </c>
      <c r="C682" t="s">
        <v>19</v>
      </c>
      <c r="D682" t="s">
        <v>36</v>
      </c>
      <c r="E682">
        <v>14</v>
      </c>
      <c r="F682">
        <v>975</v>
      </c>
      <c r="G682" t="s">
        <v>40</v>
      </c>
      <c r="H682">
        <v>13650</v>
      </c>
      <c r="I682">
        <v>11092.063923527339</v>
      </c>
      <c r="J682">
        <v>2557.9360764726589</v>
      </c>
    </row>
    <row r="683" spans="1:10" x14ac:dyDescent="0.35">
      <c r="A683" s="1">
        <v>45435</v>
      </c>
      <c r="B683" t="s">
        <v>10</v>
      </c>
      <c r="C683" t="s">
        <v>24</v>
      </c>
      <c r="E683">
        <v>16</v>
      </c>
      <c r="G683" t="s">
        <v>40</v>
      </c>
    </row>
    <row r="684" spans="1:10" x14ac:dyDescent="0.35">
      <c r="A684" s="1">
        <v>45303</v>
      </c>
      <c r="B684" t="s">
        <v>13</v>
      </c>
      <c r="C684" t="s">
        <v>17</v>
      </c>
      <c r="D684" t="s">
        <v>31</v>
      </c>
      <c r="E684">
        <v>19</v>
      </c>
      <c r="F684">
        <v>1908</v>
      </c>
      <c r="G684" t="s">
        <v>38</v>
      </c>
      <c r="H684">
        <v>36252</v>
      </c>
      <c r="I684">
        <v>22853.284191232469</v>
      </c>
      <c r="J684">
        <v>13398.715808767531</v>
      </c>
    </row>
    <row r="685" spans="1:10" x14ac:dyDescent="0.35">
      <c r="A685" s="1">
        <v>45621</v>
      </c>
      <c r="B685" t="s">
        <v>13</v>
      </c>
      <c r="C685" t="s">
        <v>24</v>
      </c>
      <c r="E685">
        <v>2</v>
      </c>
      <c r="F685">
        <v>926</v>
      </c>
      <c r="G685" t="s">
        <v>40</v>
      </c>
      <c r="H685">
        <v>1852</v>
      </c>
      <c r="I685">
        <v>1326.030827759193</v>
      </c>
      <c r="J685">
        <v>525.96917224080653</v>
      </c>
    </row>
    <row r="686" spans="1:10" x14ac:dyDescent="0.35">
      <c r="A686" s="1">
        <v>45515</v>
      </c>
      <c r="B686" t="s">
        <v>12</v>
      </c>
      <c r="C686" t="s">
        <v>24</v>
      </c>
      <c r="D686" t="s">
        <v>32</v>
      </c>
      <c r="E686">
        <v>12</v>
      </c>
      <c r="F686">
        <v>1517</v>
      </c>
      <c r="G686" t="s">
        <v>40</v>
      </c>
      <c r="H686">
        <v>18204</v>
      </c>
      <c r="I686">
        <v>15729.43356844058</v>
      </c>
      <c r="J686">
        <v>2474.5664315594172</v>
      </c>
    </row>
    <row r="687" spans="1:10" x14ac:dyDescent="0.35">
      <c r="A687" s="1">
        <v>45563</v>
      </c>
      <c r="B687" t="s">
        <v>10</v>
      </c>
      <c r="C687" t="s">
        <v>17</v>
      </c>
      <c r="D687" t="s">
        <v>34</v>
      </c>
      <c r="E687">
        <v>14</v>
      </c>
      <c r="F687">
        <v>1990</v>
      </c>
      <c r="G687" t="s">
        <v>38</v>
      </c>
      <c r="H687">
        <v>27860</v>
      </c>
      <c r="I687">
        <v>24911.302096230451</v>
      </c>
      <c r="J687">
        <v>2948.697903769546</v>
      </c>
    </row>
    <row r="688" spans="1:10" x14ac:dyDescent="0.35">
      <c r="A688" s="1">
        <v>45649</v>
      </c>
      <c r="B688" t="s">
        <v>13</v>
      </c>
      <c r="C688" t="s">
        <v>17</v>
      </c>
      <c r="D688" t="s">
        <v>32</v>
      </c>
      <c r="E688">
        <v>6</v>
      </c>
      <c r="F688">
        <v>951</v>
      </c>
      <c r="G688" t="s">
        <v>38</v>
      </c>
      <c r="H688">
        <v>5706</v>
      </c>
      <c r="I688">
        <v>4095.9947953846058</v>
      </c>
      <c r="J688">
        <v>1610.005204615394</v>
      </c>
    </row>
    <row r="689" spans="1:10" x14ac:dyDescent="0.35">
      <c r="A689" s="1">
        <v>45447</v>
      </c>
      <c r="B689" t="s">
        <v>12</v>
      </c>
      <c r="C689" t="s">
        <v>18</v>
      </c>
      <c r="D689" t="s">
        <v>34</v>
      </c>
      <c r="E689">
        <v>13</v>
      </c>
      <c r="F689">
        <v>611</v>
      </c>
      <c r="G689" t="s">
        <v>39</v>
      </c>
      <c r="H689">
        <v>7943</v>
      </c>
      <c r="I689">
        <v>6878.0416105038112</v>
      </c>
      <c r="J689">
        <v>1064.9583894961891</v>
      </c>
    </row>
    <row r="690" spans="1:10" x14ac:dyDescent="0.35">
      <c r="A690" s="1">
        <v>45299</v>
      </c>
      <c r="B690" t="s">
        <v>13</v>
      </c>
      <c r="C690" t="s">
        <v>18</v>
      </c>
      <c r="D690" t="s">
        <v>34</v>
      </c>
      <c r="E690">
        <v>4</v>
      </c>
      <c r="F690">
        <v>144</v>
      </c>
      <c r="G690" t="s">
        <v>39</v>
      </c>
      <c r="H690">
        <v>576</v>
      </c>
      <c r="I690">
        <v>433.66828312659658</v>
      </c>
      <c r="J690">
        <v>142.33171687340339</v>
      </c>
    </row>
    <row r="691" spans="1:10" x14ac:dyDescent="0.35">
      <c r="A691" s="1">
        <v>45413</v>
      </c>
      <c r="B691" t="s">
        <v>11</v>
      </c>
      <c r="C691" t="s">
        <v>20</v>
      </c>
      <c r="D691" t="s">
        <v>32</v>
      </c>
      <c r="E691">
        <v>18</v>
      </c>
      <c r="F691">
        <v>1231</v>
      </c>
      <c r="G691" t="s">
        <v>38</v>
      </c>
      <c r="H691">
        <v>22158</v>
      </c>
      <c r="I691">
        <v>18061.085761367289</v>
      </c>
      <c r="J691">
        <v>4096.9142386327148</v>
      </c>
    </row>
    <row r="692" spans="1:10" x14ac:dyDescent="0.35">
      <c r="A692" s="1">
        <v>45639</v>
      </c>
      <c r="B692" t="s">
        <v>12</v>
      </c>
      <c r="C692" t="s">
        <v>23</v>
      </c>
      <c r="D692" t="s">
        <v>36</v>
      </c>
      <c r="E692">
        <v>12</v>
      </c>
      <c r="F692">
        <v>318</v>
      </c>
      <c r="G692" t="s">
        <v>39</v>
      </c>
      <c r="H692">
        <v>3816</v>
      </c>
      <c r="I692">
        <v>2341.5412042190728</v>
      </c>
      <c r="J692">
        <v>1474.4587957809269</v>
      </c>
    </row>
    <row r="693" spans="1:10" x14ac:dyDescent="0.35">
      <c r="A693" s="1">
        <v>45455</v>
      </c>
      <c r="B693" t="s">
        <v>10</v>
      </c>
      <c r="C693" t="s">
        <v>23</v>
      </c>
      <c r="D693" t="s">
        <v>36</v>
      </c>
      <c r="E693">
        <v>19</v>
      </c>
      <c r="F693">
        <v>542</v>
      </c>
      <c r="G693" t="s">
        <v>39</v>
      </c>
      <c r="H693">
        <v>10298</v>
      </c>
      <c r="I693">
        <v>7900.5596062474424</v>
      </c>
      <c r="J693">
        <v>2397.4403937525581</v>
      </c>
    </row>
    <row r="694" spans="1:10" x14ac:dyDescent="0.35">
      <c r="A694" s="1">
        <v>45381</v>
      </c>
      <c r="B694" t="s">
        <v>10</v>
      </c>
      <c r="C694" t="s">
        <v>20</v>
      </c>
      <c r="D694" t="s">
        <v>34</v>
      </c>
      <c r="E694">
        <v>8</v>
      </c>
      <c r="F694">
        <v>1953</v>
      </c>
      <c r="G694" t="s">
        <v>38</v>
      </c>
      <c r="H694">
        <v>15624</v>
      </c>
      <c r="I694">
        <v>9703.263027408153</v>
      </c>
      <c r="J694">
        <v>5920.736972591847</v>
      </c>
    </row>
    <row r="695" spans="1:10" x14ac:dyDescent="0.35">
      <c r="A695" s="1">
        <v>45427</v>
      </c>
      <c r="B695" t="s">
        <v>10</v>
      </c>
      <c r="C695" t="s">
        <v>24</v>
      </c>
      <c r="D695" t="s">
        <v>36</v>
      </c>
      <c r="E695">
        <v>7</v>
      </c>
      <c r="F695">
        <v>414</v>
      </c>
      <c r="G695" t="s">
        <v>40</v>
      </c>
      <c r="H695">
        <v>2898</v>
      </c>
      <c r="I695">
        <v>1972.336451897349</v>
      </c>
      <c r="J695">
        <v>925.66354810265102</v>
      </c>
    </row>
    <row r="696" spans="1:10" x14ac:dyDescent="0.35">
      <c r="A696" s="1">
        <v>45477</v>
      </c>
      <c r="B696" t="s">
        <v>10</v>
      </c>
      <c r="C696" t="s">
        <v>24</v>
      </c>
      <c r="D696" t="s">
        <v>34</v>
      </c>
      <c r="E696">
        <v>16</v>
      </c>
      <c r="F696">
        <v>276</v>
      </c>
      <c r="G696" t="s">
        <v>40</v>
      </c>
      <c r="H696">
        <v>4416</v>
      </c>
      <c r="I696">
        <v>3400.5156189108252</v>
      </c>
      <c r="J696">
        <v>1015.484381089175</v>
      </c>
    </row>
    <row r="697" spans="1:10" x14ac:dyDescent="0.35">
      <c r="A697" s="1">
        <v>45607</v>
      </c>
      <c r="B697" t="s">
        <v>13</v>
      </c>
      <c r="C697" t="s">
        <v>22</v>
      </c>
      <c r="D697" t="s">
        <v>30</v>
      </c>
      <c r="E697">
        <v>19</v>
      </c>
      <c r="F697">
        <v>327</v>
      </c>
      <c r="G697" t="s">
        <v>40</v>
      </c>
      <c r="H697">
        <v>6213</v>
      </c>
      <c r="I697">
        <v>5232.2725442333704</v>
      </c>
      <c r="J697">
        <v>980.72745576662965</v>
      </c>
    </row>
    <row r="698" spans="1:10" x14ac:dyDescent="0.35">
      <c r="A698" s="1">
        <v>45469</v>
      </c>
      <c r="B698" t="s">
        <v>13</v>
      </c>
      <c r="C698" t="s">
        <v>22</v>
      </c>
      <c r="D698" t="s">
        <v>34</v>
      </c>
      <c r="E698">
        <v>6</v>
      </c>
      <c r="F698">
        <v>1826</v>
      </c>
      <c r="G698" t="s">
        <v>40</v>
      </c>
      <c r="H698">
        <v>10956</v>
      </c>
      <c r="I698">
        <v>8417.145228454694</v>
      </c>
      <c r="J698">
        <v>2538.854771545306</v>
      </c>
    </row>
    <row r="699" spans="1:10" x14ac:dyDescent="0.35">
      <c r="A699" s="1">
        <v>45319</v>
      </c>
      <c r="B699" t="s">
        <v>10</v>
      </c>
      <c r="C699" t="s">
        <v>23</v>
      </c>
      <c r="D699" t="s">
        <v>30</v>
      </c>
      <c r="E699">
        <v>-5</v>
      </c>
      <c r="F699">
        <v>1795</v>
      </c>
      <c r="G699" t="s">
        <v>39</v>
      </c>
      <c r="H699">
        <v>-8975</v>
      </c>
      <c r="I699">
        <v>-7905.6957244527039</v>
      </c>
      <c r="J699">
        <v>-1069.3042755472959</v>
      </c>
    </row>
    <row r="700" spans="1:10" x14ac:dyDescent="0.35">
      <c r="A700" s="1">
        <v>45511</v>
      </c>
      <c r="B700" t="s">
        <v>10</v>
      </c>
      <c r="C700" t="s">
        <v>20</v>
      </c>
      <c r="E700">
        <v>5</v>
      </c>
      <c r="F700">
        <v>366</v>
      </c>
      <c r="G700" t="s">
        <v>38</v>
      </c>
      <c r="H700">
        <v>1830</v>
      </c>
      <c r="I700">
        <v>1542.8725466591341</v>
      </c>
      <c r="J700">
        <v>287.12745334086623</v>
      </c>
    </row>
    <row r="701" spans="1:10" x14ac:dyDescent="0.35">
      <c r="A701" s="1">
        <v>45648</v>
      </c>
      <c r="B701" t="s">
        <v>10</v>
      </c>
      <c r="C701" t="s">
        <v>21</v>
      </c>
      <c r="D701" t="s">
        <v>37</v>
      </c>
      <c r="E701">
        <v>16</v>
      </c>
      <c r="F701">
        <v>969</v>
      </c>
      <c r="G701" t="s">
        <v>40</v>
      </c>
      <c r="H701">
        <v>15504</v>
      </c>
      <c r="I701">
        <v>10029.10416756405</v>
      </c>
      <c r="J701">
        <v>5474.8958324359483</v>
      </c>
    </row>
    <row r="702" spans="1:10" x14ac:dyDescent="0.35">
      <c r="A702" s="1">
        <v>45332</v>
      </c>
      <c r="B702" t="s">
        <v>13</v>
      </c>
      <c r="C702" t="s">
        <v>18</v>
      </c>
      <c r="D702" t="s">
        <v>35</v>
      </c>
      <c r="E702">
        <v>7</v>
      </c>
      <c r="G702" t="s">
        <v>39</v>
      </c>
    </row>
    <row r="703" spans="1:10" x14ac:dyDescent="0.35">
      <c r="A703" s="1">
        <v>45519</v>
      </c>
      <c r="B703" t="s">
        <v>10</v>
      </c>
      <c r="C703" t="s">
        <v>21</v>
      </c>
      <c r="D703" t="s">
        <v>32</v>
      </c>
      <c r="E703">
        <v>5</v>
      </c>
      <c r="F703">
        <v>1502</v>
      </c>
      <c r="G703" t="s">
        <v>40</v>
      </c>
      <c r="H703">
        <v>7510</v>
      </c>
      <c r="I703">
        <v>6012.0976677221734</v>
      </c>
      <c r="J703">
        <v>1497.9023322778271</v>
      </c>
    </row>
    <row r="704" spans="1:10" x14ac:dyDescent="0.35">
      <c r="A704" s="1">
        <v>45483</v>
      </c>
      <c r="B704" t="s">
        <v>10</v>
      </c>
      <c r="C704" t="s">
        <v>20</v>
      </c>
      <c r="D704" t="s">
        <v>37</v>
      </c>
      <c r="E704">
        <v>11</v>
      </c>
      <c r="F704">
        <v>588</v>
      </c>
      <c r="G704" t="s">
        <v>38</v>
      </c>
      <c r="H704">
        <v>6468</v>
      </c>
      <c r="I704">
        <v>5701.6830637346666</v>
      </c>
      <c r="J704">
        <v>766.31693626533342</v>
      </c>
    </row>
    <row r="705" spans="1:10" x14ac:dyDescent="0.35">
      <c r="A705" s="1">
        <v>45436</v>
      </c>
      <c r="B705" t="s">
        <v>11</v>
      </c>
      <c r="C705" t="s">
        <v>22</v>
      </c>
      <c r="D705" t="s">
        <v>33</v>
      </c>
      <c r="E705">
        <v>15</v>
      </c>
      <c r="F705">
        <v>801</v>
      </c>
      <c r="G705" t="s">
        <v>40</v>
      </c>
      <c r="H705">
        <v>12015</v>
      </c>
      <c r="I705">
        <v>10769.221848890171</v>
      </c>
      <c r="J705">
        <v>1245.7781511098351</v>
      </c>
    </row>
    <row r="706" spans="1:10" x14ac:dyDescent="0.35">
      <c r="A706" s="1">
        <v>45492</v>
      </c>
      <c r="B706" t="s">
        <v>11</v>
      </c>
      <c r="C706" t="s">
        <v>23</v>
      </c>
      <c r="D706" t="s">
        <v>32</v>
      </c>
      <c r="E706">
        <v>3</v>
      </c>
      <c r="F706">
        <v>786</v>
      </c>
      <c r="G706" t="s">
        <v>39</v>
      </c>
      <c r="H706">
        <v>2358</v>
      </c>
      <c r="I706">
        <v>1954.6780862148901</v>
      </c>
      <c r="J706">
        <v>403.32191378511021</v>
      </c>
    </row>
    <row r="707" spans="1:10" x14ac:dyDescent="0.35">
      <c r="A707" s="1">
        <v>45503</v>
      </c>
      <c r="B707" t="s">
        <v>10</v>
      </c>
      <c r="C707" t="s">
        <v>23</v>
      </c>
      <c r="E707">
        <v>5</v>
      </c>
      <c r="F707">
        <v>1413</v>
      </c>
      <c r="G707" t="s">
        <v>39</v>
      </c>
      <c r="H707">
        <v>7065</v>
      </c>
      <c r="I707">
        <v>5455.1040431754618</v>
      </c>
      <c r="J707">
        <v>1609.895956824538</v>
      </c>
    </row>
    <row r="708" spans="1:10" x14ac:dyDescent="0.35">
      <c r="A708" s="1">
        <v>45511</v>
      </c>
      <c r="B708" t="s">
        <v>12</v>
      </c>
      <c r="C708" t="s">
        <v>22</v>
      </c>
      <c r="D708" t="s">
        <v>35</v>
      </c>
      <c r="E708">
        <v>5</v>
      </c>
      <c r="F708">
        <v>1095</v>
      </c>
      <c r="G708" t="s">
        <v>40</v>
      </c>
      <c r="H708">
        <v>5475</v>
      </c>
      <c r="I708">
        <v>4527.7314153946518</v>
      </c>
      <c r="J708">
        <v>947.26858460534822</v>
      </c>
    </row>
    <row r="709" spans="1:10" x14ac:dyDescent="0.35">
      <c r="A709" s="1">
        <v>45531</v>
      </c>
      <c r="B709" t="s">
        <v>10</v>
      </c>
      <c r="C709" t="s">
        <v>21</v>
      </c>
      <c r="D709" t="s">
        <v>36</v>
      </c>
      <c r="E709">
        <v>9</v>
      </c>
      <c r="F709">
        <v>456</v>
      </c>
      <c r="G709" t="s">
        <v>40</v>
      </c>
      <c r="H709">
        <v>4104</v>
      </c>
      <c r="I709">
        <v>2798.808679644012</v>
      </c>
      <c r="J709">
        <v>1305.191320355988</v>
      </c>
    </row>
    <row r="710" spans="1:10" x14ac:dyDescent="0.35">
      <c r="A710" s="1">
        <v>45337</v>
      </c>
      <c r="B710" t="s">
        <v>11</v>
      </c>
      <c r="C710" t="s">
        <v>19</v>
      </c>
      <c r="D710" t="s">
        <v>35</v>
      </c>
      <c r="E710">
        <v>15</v>
      </c>
      <c r="F710">
        <v>1780</v>
      </c>
      <c r="G710" t="s">
        <v>40</v>
      </c>
      <c r="H710">
        <v>26700</v>
      </c>
      <c r="I710">
        <v>18291.660248349661</v>
      </c>
      <c r="J710">
        <v>8408.3397516503428</v>
      </c>
    </row>
    <row r="711" spans="1:10" x14ac:dyDescent="0.35">
      <c r="A711" s="1">
        <v>45326</v>
      </c>
      <c r="B711" t="s">
        <v>12</v>
      </c>
      <c r="C711" t="s">
        <v>19</v>
      </c>
      <c r="D711" t="s">
        <v>36</v>
      </c>
      <c r="E711">
        <v>3</v>
      </c>
      <c r="F711">
        <v>1867</v>
      </c>
      <c r="G711" t="s">
        <v>40</v>
      </c>
      <c r="H711">
        <v>5601</v>
      </c>
      <c r="I711">
        <v>4460.1032063565517</v>
      </c>
      <c r="J711">
        <v>1140.8967936434481</v>
      </c>
    </row>
    <row r="712" spans="1:10" x14ac:dyDescent="0.35">
      <c r="A712" s="1">
        <v>45544</v>
      </c>
      <c r="B712" t="s">
        <v>12</v>
      </c>
      <c r="C712" t="s">
        <v>22</v>
      </c>
      <c r="D712" t="s">
        <v>37</v>
      </c>
      <c r="E712">
        <v>6</v>
      </c>
      <c r="F712">
        <v>971</v>
      </c>
      <c r="G712" t="s">
        <v>40</v>
      </c>
      <c r="H712">
        <v>5826</v>
      </c>
      <c r="I712">
        <v>5019.3942204317636</v>
      </c>
      <c r="J712">
        <v>806.60577956823636</v>
      </c>
    </row>
    <row r="713" spans="1:10" x14ac:dyDescent="0.35">
      <c r="A713" s="1">
        <v>45373</v>
      </c>
      <c r="B713" t="s">
        <v>10</v>
      </c>
      <c r="C713" t="s">
        <v>19</v>
      </c>
      <c r="D713" t="s">
        <v>31</v>
      </c>
      <c r="E713">
        <v>17</v>
      </c>
      <c r="F713">
        <v>303</v>
      </c>
      <c r="G713" t="s">
        <v>40</v>
      </c>
      <c r="H713">
        <v>5151</v>
      </c>
      <c r="I713">
        <v>4589.2466036242186</v>
      </c>
      <c r="J713">
        <v>561.75339637578054</v>
      </c>
    </row>
    <row r="714" spans="1:10" x14ac:dyDescent="0.35">
      <c r="A714" s="1">
        <v>45547</v>
      </c>
      <c r="B714" t="s">
        <v>11</v>
      </c>
      <c r="C714" t="s">
        <v>17</v>
      </c>
      <c r="D714" t="s">
        <v>37</v>
      </c>
      <c r="E714">
        <v>8</v>
      </c>
      <c r="F714">
        <v>1336</v>
      </c>
      <c r="G714" t="s">
        <v>38</v>
      </c>
      <c r="H714">
        <v>10688</v>
      </c>
      <c r="I714">
        <v>7507.255264105218</v>
      </c>
      <c r="J714">
        <v>3180.744735894782</v>
      </c>
    </row>
    <row r="715" spans="1:10" x14ac:dyDescent="0.35">
      <c r="A715" s="1">
        <v>45488</v>
      </c>
      <c r="B715" t="s">
        <v>11</v>
      </c>
      <c r="C715" t="s">
        <v>20</v>
      </c>
      <c r="D715" t="s">
        <v>31</v>
      </c>
      <c r="E715">
        <v>11</v>
      </c>
      <c r="F715">
        <v>651</v>
      </c>
      <c r="G715" t="s">
        <v>38</v>
      </c>
      <c r="H715">
        <v>7161</v>
      </c>
      <c r="I715">
        <v>6007.8361485085661</v>
      </c>
      <c r="J715">
        <v>1153.1638514914339</v>
      </c>
    </row>
    <row r="716" spans="1:10" x14ac:dyDescent="0.35">
      <c r="A716" s="1">
        <v>45594</v>
      </c>
      <c r="B716" t="s">
        <v>12</v>
      </c>
      <c r="C716" t="s">
        <v>20</v>
      </c>
      <c r="D716" t="s">
        <v>35</v>
      </c>
      <c r="E716">
        <v>6</v>
      </c>
      <c r="F716">
        <v>1910</v>
      </c>
      <c r="G716" t="s">
        <v>38</v>
      </c>
      <c r="H716">
        <v>11460</v>
      </c>
      <c r="I716">
        <v>9803.5629085784039</v>
      </c>
      <c r="J716">
        <v>1656.4370914215961</v>
      </c>
    </row>
    <row r="717" spans="1:10" x14ac:dyDescent="0.35">
      <c r="A717" s="1">
        <v>45301</v>
      </c>
      <c r="B717" t="s">
        <v>10</v>
      </c>
      <c r="C717" t="s">
        <v>22</v>
      </c>
      <c r="D717" t="s">
        <v>36</v>
      </c>
      <c r="F717">
        <v>422</v>
      </c>
      <c r="G717" t="s">
        <v>40</v>
      </c>
    </row>
    <row r="718" spans="1:10" x14ac:dyDescent="0.35">
      <c r="A718" s="1">
        <v>45603</v>
      </c>
      <c r="B718" t="s">
        <v>13</v>
      </c>
      <c r="C718" t="s">
        <v>24</v>
      </c>
      <c r="D718" t="s">
        <v>37</v>
      </c>
      <c r="E718">
        <v>10</v>
      </c>
      <c r="F718">
        <v>693</v>
      </c>
      <c r="G718" t="s">
        <v>40</v>
      </c>
      <c r="H718">
        <v>6930</v>
      </c>
      <c r="I718">
        <v>4880.643523155677</v>
      </c>
      <c r="J718">
        <v>2049.356476844323</v>
      </c>
    </row>
    <row r="719" spans="1:10" x14ac:dyDescent="0.35">
      <c r="A719" s="1">
        <v>45577</v>
      </c>
      <c r="B719" t="s">
        <v>13</v>
      </c>
      <c r="C719" t="s">
        <v>18</v>
      </c>
      <c r="D719" t="s">
        <v>31</v>
      </c>
      <c r="E719">
        <v>3</v>
      </c>
      <c r="F719">
        <v>280</v>
      </c>
      <c r="G719" t="s">
        <v>39</v>
      </c>
      <c r="H719">
        <v>840</v>
      </c>
      <c r="I719">
        <v>660.01031844899785</v>
      </c>
      <c r="J719">
        <v>179.98968155100209</v>
      </c>
    </row>
    <row r="720" spans="1:10" x14ac:dyDescent="0.35">
      <c r="A720" s="1">
        <v>45533</v>
      </c>
      <c r="B720" t="s">
        <v>11</v>
      </c>
      <c r="C720" t="s">
        <v>21</v>
      </c>
      <c r="D720" t="s">
        <v>34</v>
      </c>
      <c r="E720">
        <v>14</v>
      </c>
      <c r="F720">
        <v>598</v>
      </c>
      <c r="G720" t="s">
        <v>40</v>
      </c>
      <c r="H720">
        <v>8372</v>
      </c>
      <c r="I720">
        <v>6491.1018680687948</v>
      </c>
      <c r="J720">
        <v>1880.8981319312049</v>
      </c>
    </row>
    <row r="721" spans="1:10" x14ac:dyDescent="0.35">
      <c r="A721" s="1">
        <v>45542</v>
      </c>
      <c r="B721" t="s">
        <v>13</v>
      </c>
      <c r="C721" t="s">
        <v>22</v>
      </c>
      <c r="D721" t="s">
        <v>32</v>
      </c>
      <c r="E721">
        <v>14</v>
      </c>
      <c r="F721">
        <v>1443</v>
      </c>
      <c r="G721" t="s">
        <v>40</v>
      </c>
      <c r="H721">
        <v>20202</v>
      </c>
      <c r="I721">
        <v>15797.10848043021</v>
      </c>
      <c r="J721">
        <v>4404.8915195697864</v>
      </c>
    </row>
    <row r="722" spans="1:10" x14ac:dyDescent="0.35">
      <c r="A722" s="1">
        <v>45656</v>
      </c>
      <c r="B722" t="s">
        <v>11</v>
      </c>
      <c r="C722" t="s">
        <v>19</v>
      </c>
      <c r="D722" t="s">
        <v>32</v>
      </c>
      <c r="E722">
        <v>10</v>
      </c>
      <c r="F722">
        <v>182</v>
      </c>
      <c r="G722" t="s">
        <v>40</v>
      </c>
      <c r="H722">
        <v>1820</v>
      </c>
      <c r="I722">
        <v>1430.116076728096</v>
      </c>
      <c r="J722">
        <v>389.883923271904</v>
      </c>
    </row>
    <row r="723" spans="1:10" x14ac:dyDescent="0.35">
      <c r="A723" s="1">
        <v>45296</v>
      </c>
      <c r="B723" t="s">
        <v>11</v>
      </c>
      <c r="C723" t="s">
        <v>21</v>
      </c>
      <c r="D723" t="s">
        <v>37</v>
      </c>
      <c r="E723">
        <v>12</v>
      </c>
      <c r="F723">
        <v>402</v>
      </c>
      <c r="G723" t="s">
        <v>40</v>
      </c>
      <c r="H723">
        <v>4824</v>
      </c>
      <c r="I723">
        <v>4120.2626138295163</v>
      </c>
      <c r="J723">
        <v>703.73738617048366</v>
      </c>
    </row>
    <row r="724" spans="1:10" x14ac:dyDescent="0.35">
      <c r="A724" s="1">
        <v>45410</v>
      </c>
      <c r="B724" t="s">
        <v>11</v>
      </c>
      <c r="C724" t="s">
        <v>24</v>
      </c>
      <c r="D724" t="s">
        <v>36</v>
      </c>
      <c r="E724">
        <v>6</v>
      </c>
      <c r="F724">
        <v>361</v>
      </c>
      <c r="G724" t="s">
        <v>40</v>
      </c>
      <c r="H724">
        <v>2166</v>
      </c>
      <c r="I724">
        <v>1410.1189673211111</v>
      </c>
      <c r="J724">
        <v>755.88103267888891</v>
      </c>
    </row>
    <row r="725" spans="1:10" x14ac:dyDescent="0.35">
      <c r="A725" s="1">
        <v>45580</v>
      </c>
      <c r="B725" t="s">
        <v>13</v>
      </c>
      <c r="C725" t="s">
        <v>19</v>
      </c>
      <c r="D725" t="s">
        <v>34</v>
      </c>
      <c r="E725">
        <v>12</v>
      </c>
      <c r="F725">
        <v>883</v>
      </c>
      <c r="G725" t="s">
        <v>40</v>
      </c>
      <c r="H725">
        <v>10596</v>
      </c>
      <c r="I725">
        <v>7525.1540006790956</v>
      </c>
      <c r="J725">
        <v>3070.845999320904</v>
      </c>
    </row>
    <row r="726" spans="1:10" x14ac:dyDescent="0.35">
      <c r="A726" s="1">
        <v>45356</v>
      </c>
      <c r="B726" t="s">
        <v>11</v>
      </c>
      <c r="C726" t="s">
        <v>23</v>
      </c>
      <c r="D726" t="s">
        <v>37</v>
      </c>
      <c r="E726">
        <v>14</v>
      </c>
      <c r="F726">
        <v>1323</v>
      </c>
      <c r="G726" t="s">
        <v>39</v>
      </c>
      <c r="H726">
        <v>18522</v>
      </c>
      <c r="I726">
        <v>14369.37719819696</v>
      </c>
      <c r="J726">
        <v>4152.6228018030361</v>
      </c>
    </row>
    <row r="727" spans="1:10" x14ac:dyDescent="0.35">
      <c r="A727" s="1">
        <v>45437</v>
      </c>
      <c r="B727" t="s">
        <v>12</v>
      </c>
      <c r="C727" t="s">
        <v>18</v>
      </c>
      <c r="D727" t="s">
        <v>35</v>
      </c>
      <c r="E727">
        <v>2</v>
      </c>
      <c r="F727">
        <v>1363</v>
      </c>
      <c r="G727" t="s">
        <v>39</v>
      </c>
      <c r="H727">
        <v>2726</v>
      </c>
      <c r="I727">
        <v>1867.305424636588</v>
      </c>
      <c r="J727">
        <v>858.69457536341179</v>
      </c>
    </row>
    <row r="728" spans="1:10" x14ac:dyDescent="0.35">
      <c r="A728" s="1">
        <v>45515</v>
      </c>
      <c r="B728" t="s">
        <v>10</v>
      </c>
      <c r="C728" t="s">
        <v>17</v>
      </c>
      <c r="D728" t="s">
        <v>31</v>
      </c>
      <c r="E728">
        <v>9</v>
      </c>
      <c r="F728">
        <v>1013</v>
      </c>
      <c r="G728" t="s">
        <v>38</v>
      </c>
      <c r="H728">
        <v>9117</v>
      </c>
      <c r="I728">
        <v>8145.546604212057</v>
      </c>
      <c r="J728">
        <v>971.45339578794301</v>
      </c>
    </row>
    <row r="729" spans="1:10" x14ac:dyDescent="0.35">
      <c r="A729" s="1">
        <v>45530</v>
      </c>
      <c r="B729" t="s">
        <v>10</v>
      </c>
      <c r="C729" t="s">
        <v>19</v>
      </c>
      <c r="D729" t="s">
        <v>30</v>
      </c>
      <c r="E729">
        <v>10</v>
      </c>
      <c r="F729">
        <v>791</v>
      </c>
      <c r="G729" t="s">
        <v>40</v>
      </c>
      <c r="H729">
        <v>7910</v>
      </c>
      <c r="I729">
        <v>5370.4555660363267</v>
      </c>
      <c r="J729">
        <v>2539.5444339636729</v>
      </c>
    </row>
    <row r="730" spans="1:10" x14ac:dyDescent="0.35">
      <c r="A730" s="1">
        <v>45468</v>
      </c>
      <c r="B730" t="s">
        <v>11</v>
      </c>
      <c r="C730" t="s">
        <v>17</v>
      </c>
      <c r="D730" t="s">
        <v>35</v>
      </c>
      <c r="E730">
        <v>17</v>
      </c>
      <c r="F730">
        <v>1043</v>
      </c>
      <c r="G730" t="s">
        <v>38</v>
      </c>
      <c r="H730">
        <v>17731</v>
      </c>
      <c r="I730">
        <v>13136.69690480093</v>
      </c>
      <c r="J730">
        <v>4594.3030951990677</v>
      </c>
    </row>
    <row r="731" spans="1:10" x14ac:dyDescent="0.35">
      <c r="A731" s="1">
        <v>45558</v>
      </c>
      <c r="B731" t="s">
        <v>10</v>
      </c>
      <c r="C731" t="s">
        <v>25</v>
      </c>
      <c r="D731" t="s">
        <v>32</v>
      </c>
      <c r="E731">
        <v>17</v>
      </c>
      <c r="F731">
        <v>782</v>
      </c>
      <c r="G731" t="s">
        <v>40</v>
      </c>
      <c r="H731">
        <v>13294</v>
      </c>
      <c r="I731">
        <v>11475.507275312861</v>
      </c>
      <c r="J731">
        <v>1818.4927246871409</v>
      </c>
    </row>
    <row r="732" spans="1:10" x14ac:dyDescent="0.35">
      <c r="A732" s="1">
        <v>45632</v>
      </c>
      <c r="B732" t="s">
        <v>13</v>
      </c>
      <c r="C732" t="s">
        <v>17</v>
      </c>
      <c r="D732" t="s">
        <v>31</v>
      </c>
      <c r="E732">
        <v>3</v>
      </c>
      <c r="F732">
        <v>1418</v>
      </c>
      <c r="G732" t="s">
        <v>38</v>
      </c>
      <c r="H732">
        <v>4254</v>
      </c>
      <c r="I732">
        <v>2654.57724628698</v>
      </c>
      <c r="J732">
        <v>1599.42275371302</v>
      </c>
    </row>
    <row r="733" spans="1:10" x14ac:dyDescent="0.35">
      <c r="A733" s="1">
        <v>45573</v>
      </c>
      <c r="B733" t="s">
        <v>13</v>
      </c>
      <c r="C733" t="s">
        <v>21</v>
      </c>
      <c r="D733" t="s">
        <v>37</v>
      </c>
      <c r="E733">
        <v>19</v>
      </c>
      <c r="F733">
        <v>1635</v>
      </c>
      <c r="G733" t="s">
        <v>40</v>
      </c>
      <c r="H733">
        <v>31065</v>
      </c>
      <c r="I733">
        <v>26287.401835517379</v>
      </c>
      <c r="J733">
        <v>4777.5981644826206</v>
      </c>
    </row>
    <row r="734" spans="1:10" x14ac:dyDescent="0.35">
      <c r="A734" s="1">
        <v>45354</v>
      </c>
      <c r="B734" t="s">
        <v>10</v>
      </c>
      <c r="C734" t="s">
        <v>21</v>
      </c>
      <c r="D734" t="s">
        <v>35</v>
      </c>
      <c r="E734">
        <v>1</v>
      </c>
      <c r="F734">
        <v>788</v>
      </c>
      <c r="G734" t="s">
        <v>40</v>
      </c>
      <c r="H734">
        <v>788</v>
      </c>
      <c r="I734">
        <v>607.78637842561193</v>
      </c>
      <c r="J734">
        <v>180.2136215743881</v>
      </c>
    </row>
    <row r="735" spans="1:10" x14ac:dyDescent="0.35">
      <c r="A735" s="1">
        <v>45508</v>
      </c>
      <c r="B735" t="s">
        <v>13</v>
      </c>
      <c r="C735" t="s">
        <v>21</v>
      </c>
      <c r="D735" t="s">
        <v>33</v>
      </c>
      <c r="E735">
        <v>12</v>
      </c>
      <c r="F735">
        <v>495</v>
      </c>
      <c r="G735" t="s">
        <v>40</v>
      </c>
      <c r="H735">
        <v>5940</v>
      </c>
      <c r="I735">
        <v>3620.6712367406521</v>
      </c>
      <c r="J735">
        <v>2319.3287632593479</v>
      </c>
    </row>
    <row r="736" spans="1:10" x14ac:dyDescent="0.35">
      <c r="A736" s="1">
        <v>45633</v>
      </c>
      <c r="B736" t="s">
        <v>10</v>
      </c>
      <c r="C736" t="s">
        <v>21</v>
      </c>
      <c r="D736" t="s">
        <v>30</v>
      </c>
      <c r="E736">
        <v>7</v>
      </c>
      <c r="F736">
        <v>1872</v>
      </c>
      <c r="G736" t="s">
        <v>40</v>
      </c>
      <c r="H736">
        <v>13104</v>
      </c>
      <c r="I736">
        <v>11411.93116089976</v>
      </c>
      <c r="J736">
        <v>1692.068839100237</v>
      </c>
    </row>
    <row r="737" spans="1:10" x14ac:dyDescent="0.35">
      <c r="A737" s="1">
        <v>45606</v>
      </c>
      <c r="B737" t="s">
        <v>10</v>
      </c>
      <c r="C737" t="s">
        <v>21</v>
      </c>
      <c r="D737" t="s">
        <v>36</v>
      </c>
      <c r="E737">
        <v>4</v>
      </c>
      <c r="F737">
        <v>1261</v>
      </c>
      <c r="G737" t="s">
        <v>40</v>
      </c>
      <c r="H737">
        <v>5044</v>
      </c>
      <c r="I737">
        <v>3085.7126514116298</v>
      </c>
      <c r="J737">
        <v>1958.2873485883699</v>
      </c>
    </row>
    <row r="738" spans="1:10" x14ac:dyDescent="0.35">
      <c r="A738" s="1">
        <v>45574</v>
      </c>
      <c r="B738" t="s">
        <v>10</v>
      </c>
      <c r="C738" t="s">
        <v>19</v>
      </c>
      <c r="D738" t="s">
        <v>34</v>
      </c>
      <c r="E738">
        <v>10</v>
      </c>
      <c r="F738">
        <v>938</v>
      </c>
      <c r="G738" t="s">
        <v>40</v>
      </c>
      <c r="H738">
        <v>9380</v>
      </c>
      <c r="I738">
        <v>7077.8228787074186</v>
      </c>
      <c r="J738">
        <v>2302.177121292581</v>
      </c>
    </row>
    <row r="739" spans="1:10" x14ac:dyDescent="0.35">
      <c r="A739" s="1">
        <v>45468</v>
      </c>
      <c r="B739" t="s">
        <v>11</v>
      </c>
      <c r="C739" t="s">
        <v>21</v>
      </c>
      <c r="D739" t="s">
        <v>34</v>
      </c>
      <c r="E739">
        <v>13</v>
      </c>
      <c r="F739">
        <v>977</v>
      </c>
      <c r="G739" t="s">
        <v>40</v>
      </c>
      <c r="H739">
        <v>12701</v>
      </c>
      <c r="I739">
        <v>7807.4237580271556</v>
      </c>
      <c r="J739">
        <v>4893.5762419728444</v>
      </c>
    </row>
    <row r="740" spans="1:10" x14ac:dyDescent="0.35">
      <c r="A740" s="1">
        <v>45389</v>
      </c>
      <c r="B740" t="s">
        <v>10</v>
      </c>
      <c r="D740" t="s">
        <v>36</v>
      </c>
      <c r="E740">
        <v>2</v>
      </c>
      <c r="F740">
        <v>922</v>
      </c>
      <c r="G740" t="s">
        <v>40</v>
      </c>
      <c r="H740">
        <v>1844</v>
      </c>
      <c r="I740">
        <v>1145.7878944760921</v>
      </c>
      <c r="J740">
        <v>698.21210552390767</v>
      </c>
    </row>
    <row r="741" spans="1:10" x14ac:dyDescent="0.35">
      <c r="A741" s="1">
        <v>45396</v>
      </c>
      <c r="B741" t="s">
        <v>11</v>
      </c>
      <c r="C741" t="s">
        <v>21</v>
      </c>
      <c r="D741" t="s">
        <v>33</v>
      </c>
      <c r="E741">
        <v>10</v>
      </c>
      <c r="F741">
        <v>1252</v>
      </c>
      <c r="G741" t="s">
        <v>40</v>
      </c>
      <c r="H741">
        <v>12520</v>
      </c>
      <c r="I741">
        <v>10844.33940435264</v>
      </c>
      <c r="J741">
        <v>1675.6605956473579</v>
      </c>
    </row>
    <row r="742" spans="1:10" x14ac:dyDescent="0.35">
      <c r="A742" s="1">
        <v>45390</v>
      </c>
      <c r="B742" t="s">
        <v>10</v>
      </c>
      <c r="C742" t="s">
        <v>17</v>
      </c>
      <c r="D742" t="s">
        <v>32</v>
      </c>
      <c r="E742">
        <v>4</v>
      </c>
      <c r="F742">
        <v>148</v>
      </c>
      <c r="G742" t="s">
        <v>38</v>
      </c>
      <c r="H742">
        <v>592</v>
      </c>
      <c r="I742">
        <v>491.21061714053002</v>
      </c>
      <c r="J742">
        <v>100.78938285947</v>
      </c>
    </row>
    <row r="743" spans="1:10" x14ac:dyDescent="0.35">
      <c r="A743" s="1">
        <v>45602</v>
      </c>
      <c r="B743" t="s">
        <v>10</v>
      </c>
      <c r="C743" t="s">
        <v>23</v>
      </c>
      <c r="D743" t="s">
        <v>31</v>
      </c>
      <c r="E743">
        <v>18</v>
      </c>
      <c r="F743">
        <v>1799</v>
      </c>
      <c r="G743" t="s">
        <v>39</v>
      </c>
      <c r="H743">
        <v>32382</v>
      </c>
      <c r="I743">
        <v>21342.40472160482</v>
      </c>
      <c r="J743">
        <v>11039.59527839518</v>
      </c>
    </row>
    <row r="744" spans="1:10" x14ac:dyDescent="0.35">
      <c r="A744" s="1">
        <v>45297</v>
      </c>
      <c r="B744" t="s">
        <v>10</v>
      </c>
      <c r="C744" t="s">
        <v>21</v>
      </c>
      <c r="D744" t="s">
        <v>36</v>
      </c>
      <c r="E744">
        <v>5</v>
      </c>
      <c r="F744">
        <v>888</v>
      </c>
      <c r="G744" t="s">
        <v>40</v>
      </c>
      <c r="H744">
        <v>4440</v>
      </c>
      <c r="I744">
        <v>3490.463340321387</v>
      </c>
      <c r="J744">
        <v>949.53665967861343</v>
      </c>
    </row>
    <row r="745" spans="1:10" x14ac:dyDescent="0.35">
      <c r="A745" s="1">
        <v>45488</v>
      </c>
      <c r="B745" t="s">
        <v>13</v>
      </c>
      <c r="C745" t="s">
        <v>24</v>
      </c>
      <c r="D745" t="s">
        <v>33</v>
      </c>
      <c r="E745">
        <v>19</v>
      </c>
      <c r="F745">
        <v>392</v>
      </c>
      <c r="G745" t="s">
        <v>40</v>
      </c>
      <c r="H745">
        <v>7448</v>
      </c>
      <c r="I745">
        <v>6244.4320277027082</v>
      </c>
      <c r="J745">
        <v>1203.567972297292</v>
      </c>
    </row>
    <row r="746" spans="1:10" x14ac:dyDescent="0.35">
      <c r="A746" s="1">
        <v>45642</v>
      </c>
      <c r="B746" t="s">
        <v>11</v>
      </c>
      <c r="C746" t="s">
        <v>21</v>
      </c>
      <c r="D746" t="s">
        <v>37</v>
      </c>
      <c r="E746">
        <v>2</v>
      </c>
      <c r="F746">
        <v>1751</v>
      </c>
      <c r="G746" t="s">
        <v>40</v>
      </c>
      <c r="H746">
        <v>3502</v>
      </c>
      <c r="I746">
        <v>3035.8039278200281</v>
      </c>
      <c r="J746">
        <v>466.19607217997191</v>
      </c>
    </row>
    <row r="747" spans="1:10" x14ac:dyDescent="0.35">
      <c r="A747" s="1">
        <v>45424</v>
      </c>
      <c r="B747" t="s">
        <v>11</v>
      </c>
      <c r="C747" t="s">
        <v>21</v>
      </c>
      <c r="D747" t="s">
        <v>30</v>
      </c>
      <c r="E747">
        <v>12</v>
      </c>
      <c r="F747">
        <v>635</v>
      </c>
      <c r="G747" t="s">
        <v>40</v>
      </c>
      <c r="H747">
        <v>7620</v>
      </c>
      <c r="I747">
        <v>5642.5496347542876</v>
      </c>
      <c r="J747">
        <v>1977.450365245712</v>
      </c>
    </row>
    <row r="748" spans="1:10" x14ac:dyDescent="0.35">
      <c r="A748" s="1">
        <v>45649</v>
      </c>
      <c r="B748" t="s">
        <v>10</v>
      </c>
      <c r="D748" t="s">
        <v>34</v>
      </c>
      <c r="E748">
        <v>17</v>
      </c>
      <c r="F748">
        <v>410</v>
      </c>
      <c r="G748" t="s">
        <v>38</v>
      </c>
      <c r="H748">
        <v>6970</v>
      </c>
      <c r="I748">
        <v>6058.6722436459186</v>
      </c>
      <c r="J748">
        <v>911.32775635408143</v>
      </c>
    </row>
    <row r="749" spans="1:10" x14ac:dyDescent="0.35">
      <c r="A749" s="1">
        <v>45550</v>
      </c>
      <c r="B749" t="s">
        <v>10</v>
      </c>
      <c r="C749" t="s">
        <v>18</v>
      </c>
      <c r="D749" t="s">
        <v>30</v>
      </c>
      <c r="E749">
        <v>10</v>
      </c>
      <c r="F749">
        <v>636</v>
      </c>
      <c r="G749" t="s">
        <v>39</v>
      </c>
      <c r="H749">
        <v>6360</v>
      </c>
      <c r="I749">
        <v>4784.9779387451072</v>
      </c>
      <c r="J749">
        <v>1575.0220612548931</v>
      </c>
    </row>
    <row r="750" spans="1:10" x14ac:dyDescent="0.35">
      <c r="A750" s="1">
        <v>45314</v>
      </c>
      <c r="B750" t="s">
        <v>13</v>
      </c>
      <c r="C750" t="s">
        <v>20</v>
      </c>
      <c r="D750" t="s">
        <v>33</v>
      </c>
      <c r="E750">
        <v>2</v>
      </c>
      <c r="F750">
        <v>738</v>
      </c>
      <c r="G750" t="s">
        <v>38</v>
      </c>
      <c r="H750">
        <v>1476</v>
      </c>
      <c r="I750">
        <v>1190.347377076281</v>
      </c>
      <c r="J750">
        <v>285.65262292371858</v>
      </c>
    </row>
    <row r="751" spans="1:10" x14ac:dyDescent="0.35">
      <c r="A751" s="1">
        <v>45344</v>
      </c>
      <c r="B751" t="s">
        <v>13</v>
      </c>
      <c r="C751" t="s">
        <v>17</v>
      </c>
      <c r="D751" t="s">
        <v>30</v>
      </c>
      <c r="E751">
        <v>6</v>
      </c>
      <c r="F751">
        <v>333</v>
      </c>
      <c r="G751" t="s">
        <v>38</v>
      </c>
      <c r="H751">
        <v>1998</v>
      </c>
      <c r="I751">
        <v>1785.630198039428</v>
      </c>
      <c r="J751">
        <v>212.36980196057169</v>
      </c>
    </row>
    <row r="752" spans="1:10" x14ac:dyDescent="0.35">
      <c r="A752" s="1">
        <v>45456</v>
      </c>
      <c r="B752" t="s">
        <v>13</v>
      </c>
      <c r="C752" t="s">
        <v>24</v>
      </c>
      <c r="D752" t="s">
        <v>32</v>
      </c>
      <c r="E752">
        <v>8</v>
      </c>
      <c r="F752">
        <v>-100</v>
      </c>
      <c r="G752" t="s">
        <v>40</v>
      </c>
      <c r="H752">
        <v>-800</v>
      </c>
      <c r="I752">
        <v>-536.62842940668645</v>
      </c>
      <c r="J752">
        <v>-263.37157059331349</v>
      </c>
    </row>
    <row r="753" spans="1:10" x14ac:dyDescent="0.35">
      <c r="A753" s="1">
        <v>45493</v>
      </c>
      <c r="B753" t="s">
        <v>11</v>
      </c>
      <c r="C753" t="s">
        <v>20</v>
      </c>
      <c r="D753" t="s">
        <v>32</v>
      </c>
      <c r="E753">
        <v>19</v>
      </c>
      <c r="F753">
        <v>704</v>
      </c>
      <c r="G753" t="s">
        <v>38</v>
      </c>
      <c r="H753">
        <v>13376</v>
      </c>
      <c r="I753">
        <v>8701.8421766637675</v>
      </c>
      <c r="J753">
        <v>4674.1578233362316</v>
      </c>
    </row>
    <row r="754" spans="1:10" x14ac:dyDescent="0.35">
      <c r="A754" s="1">
        <v>45374</v>
      </c>
      <c r="B754" t="s">
        <v>11</v>
      </c>
      <c r="C754" t="s">
        <v>22</v>
      </c>
      <c r="D754" t="s">
        <v>35</v>
      </c>
      <c r="E754">
        <v>11</v>
      </c>
      <c r="F754">
        <v>193</v>
      </c>
      <c r="G754" t="s">
        <v>40</v>
      </c>
      <c r="H754">
        <v>2123</v>
      </c>
      <c r="I754">
        <v>1491.6317896284061</v>
      </c>
      <c r="J754">
        <v>631.36821037159439</v>
      </c>
    </row>
    <row r="755" spans="1:10" x14ac:dyDescent="0.35">
      <c r="A755" s="1">
        <v>45436</v>
      </c>
      <c r="B755" t="s">
        <v>11</v>
      </c>
      <c r="C755" t="s">
        <v>22</v>
      </c>
      <c r="D755" t="s">
        <v>36</v>
      </c>
      <c r="E755">
        <v>12</v>
      </c>
      <c r="F755">
        <v>426</v>
      </c>
      <c r="G755" t="s">
        <v>40</v>
      </c>
      <c r="H755">
        <v>5112</v>
      </c>
      <c r="I755">
        <v>3319.322341243866</v>
      </c>
      <c r="J755">
        <v>1792.677658756134</v>
      </c>
    </row>
    <row r="756" spans="1:10" x14ac:dyDescent="0.35">
      <c r="A756" s="1">
        <v>45376</v>
      </c>
      <c r="B756" t="s">
        <v>10</v>
      </c>
      <c r="C756" t="s">
        <v>18</v>
      </c>
      <c r="D756" t="s">
        <v>35</v>
      </c>
      <c r="E756">
        <v>9</v>
      </c>
      <c r="F756">
        <v>324</v>
      </c>
      <c r="G756" t="s">
        <v>39</v>
      </c>
      <c r="H756">
        <v>2916</v>
      </c>
      <c r="I756">
        <v>1998.1856224306241</v>
      </c>
      <c r="J756">
        <v>917.81437756937589</v>
      </c>
    </row>
    <row r="757" spans="1:10" x14ac:dyDescent="0.35">
      <c r="A757" s="1">
        <v>45369</v>
      </c>
      <c r="B757" t="s">
        <v>11</v>
      </c>
      <c r="C757" t="s">
        <v>24</v>
      </c>
      <c r="D757" t="s">
        <v>30</v>
      </c>
      <c r="E757">
        <v>2</v>
      </c>
      <c r="F757">
        <v>1066</v>
      </c>
      <c r="G757" t="s">
        <v>40</v>
      </c>
      <c r="H757">
        <v>2132</v>
      </c>
      <c r="I757">
        <v>1754.4134128278381</v>
      </c>
      <c r="J757">
        <v>377.58658717216173</v>
      </c>
    </row>
    <row r="758" spans="1:10" x14ac:dyDescent="0.35">
      <c r="A758" s="1">
        <v>45657</v>
      </c>
      <c r="B758" t="s">
        <v>12</v>
      </c>
      <c r="C758" t="s">
        <v>17</v>
      </c>
      <c r="D758" t="s">
        <v>34</v>
      </c>
      <c r="E758">
        <v>8</v>
      </c>
      <c r="F758">
        <v>989</v>
      </c>
      <c r="G758" t="s">
        <v>38</v>
      </c>
      <c r="H758">
        <v>7912</v>
      </c>
      <c r="I758">
        <v>5880.6510516627677</v>
      </c>
      <c r="J758">
        <v>2031.3489483372321</v>
      </c>
    </row>
    <row r="759" spans="1:10" x14ac:dyDescent="0.35">
      <c r="A759" s="1">
        <v>45292</v>
      </c>
      <c r="B759" t="s">
        <v>12</v>
      </c>
      <c r="C759" t="s">
        <v>19</v>
      </c>
      <c r="D759" t="s">
        <v>33</v>
      </c>
      <c r="E759">
        <v>11</v>
      </c>
      <c r="F759">
        <v>1915</v>
      </c>
      <c r="G759" t="s">
        <v>40</v>
      </c>
      <c r="H759">
        <v>21065</v>
      </c>
      <c r="I759">
        <v>15009.07346056053</v>
      </c>
      <c r="J759">
        <v>6055.9265394394679</v>
      </c>
    </row>
    <row r="760" spans="1:10" x14ac:dyDescent="0.35">
      <c r="A760" s="1">
        <v>45342</v>
      </c>
      <c r="B760" t="s">
        <v>13</v>
      </c>
      <c r="C760" t="s">
        <v>24</v>
      </c>
      <c r="D760" t="s">
        <v>31</v>
      </c>
      <c r="E760">
        <v>4</v>
      </c>
      <c r="F760">
        <v>110</v>
      </c>
      <c r="G760" t="s">
        <v>40</v>
      </c>
      <c r="H760">
        <v>440</v>
      </c>
      <c r="I760">
        <v>312.67156869640468</v>
      </c>
      <c r="J760">
        <v>127.32843130359529</v>
      </c>
    </row>
    <row r="761" spans="1:10" x14ac:dyDescent="0.35">
      <c r="A761" s="1">
        <v>45464</v>
      </c>
      <c r="B761" t="s">
        <v>11</v>
      </c>
      <c r="C761" t="s">
        <v>23</v>
      </c>
      <c r="D761" t="s">
        <v>30</v>
      </c>
      <c r="E761">
        <v>10</v>
      </c>
      <c r="F761">
        <v>1452</v>
      </c>
      <c r="G761" t="s">
        <v>39</v>
      </c>
      <c r="H761">
        <v>14520</v>
      </c>
      <c r="I761">
        <v>9559.372570664631</v>
      </c>
      <c r="J761">
        <v>4960.627429335369</v>
      </c>
    </row>
    <row r="762" spans="1:10" x14ac:dyDescent="0.35">
      <c r="A762" s="1">
        <v>45496</v>
      </c>
      <c r="B762" t="s">
        <v>12</v>
      </c>
      <c r="C762" t="s">
        <v>20</v>
      </c>
      <c r="D762" t="s">
        <v>31</v>
      </c>
      <c r="E762">
        <v>16</v>
      </c>
      <c r="F762">
        <v>1135</v>
      </c>
      <c r="G762" t="s">
        <v>38</v>
      </c>
      <c r="H762">
        <v>18160</v>
      </c>
      <c r="I762">
        <v>13333.497602955549</v>
      </c>
      <c r="J762">
        <v>4826.5023970444508</v>
      </c>
    </row>
    <row r="763" spans="1:10" x14ac:dyDescent="0.35">
      <c r="A763" s="1">
        <v>45551</v>
      </c>
      <c r="B763" t="s">
        <v>13</v>
      </c>
      <c r="C763" t="s">
        <v>20</v>
      </c>
      <c r="D763" t="s">
        <v>32</v>
      </c>
      <c r="E763">
        <v>8</v>
      </c>
      <c r="F763">
        <v>134</v>
      </c>
      <c r="G763" t="s">
        <v>38</v>
      </c>
      <c r="H763">
        <v>1072</v>
      </c>
      <c r="I763">
        <v>844.08279567411739</v>
      </c>
      <c r="J763">
        <v>227.91720432588261</v>
      </c>
    </row>
    <row r="764" spans="1:10" x14ac:dyDescent="0.35">
      <c r="A764" s="1">
        <v>45579</v>
      </c>
      <c r="B764" t="s">
        <v>11</v>
      </c>
      <c r="C764" t="s">
        <v>21</v>
      </c>
      <c r="D764" t="s">
        <v>31</v>
      </c>
      <c r="E764">
        <v>4</v>
      </c>
      <c r="F764">
        <v>546</v>
      </c>
      <c r="G764" t="s">
        <v>40</v>
      </c>
      <c r="H764">
        <v>2184</v>
      </c>
      <c r="I764">
        <v>1401.57424757634</v>
      </c>
      <c r="J764">
        <v>782.42575242366001</v>
      </c>
    </row>
    <row r="765" spans="1:10" x14ac:dyDescent="0.35">
      <c r="A765" s="1">
        <v>45325</v>
      </c>
      <c r="B765" t="s">
        <v>10</v>
      </c>
      <c r="C765" t="s">
        <v>22</v>
      </c>
      <c r="D765" t="s">
        <v>31</v>
      </c>
      <c r="E765">
        <v>10</v>
      </c>
      <c r="F765">
        <v>1575</v>
      </c>
      <c r="G765" t="s">
        <v>40</v>
      </c>
      <c r="H765">
        <v>15750</v>
      </c>
      <c r="I765">
        <v>14046.54077044676</v>
      </c>
      <c r="J765">
        <v>1703.459229553237</v>
      </c>
    </row>
    <row r="766" spans="1:10" x14ac:dyDescent="0.35">
      <c r="A766" s="1">
        <v>45639</v>
      </c>
      <c r="B766" t="s">
        <v>12</v>
      </c>
      <c r="C766" t="s">
        <v>18</v>
      </c>
      <c r="D766" t="s">
        <v>34</v>
      </c>
      <c r="E766">
        <v>12</v>
      </c>
      <c r="F766">
        <v>1863</v>
      </c>
      <c r="G766" t="s">
        <v>39</v>
      </c>
      <c r="H766">
        <v>22356</v>
      </c>
      <c r="I766">
        <v>16386.598194058821</v>
      </c>
      <c r="J766">
        <v>5969.4018059411828</v>
      </c>
    </row>
    <row r="767" spans="1:10" x14ac:dyDescent="0.35">
      <c r="A767" s="1">
        <v>45386</v>
      </c>
      <c r="B767" t="s">
        <v>10</v>
      </c>
      <c r="C767" t="s">
        <v>20</v>
      </c>
      <c r="D767" t="s">
        <v>31</v>
      </c>
      <c r="E767">
        <v>14</v>
      </c>
      <c r="G767" t="s">
        <v>38</v>
      </c>
    </row>
    <row r="768" spans="1:10" x14ac:dyDescent="0.35">
      <c r="A768" s="1">
        <v>45363</v>
      </c>
      <c r="B768" t="s">
        <v>11</v>
      </c>
      <c r="C768" t="s">
        <v>24</v>
      </c>
      <c r="D768" t="s">
        <v>30</v>
      </c>
      <c r="E768">
        <v>16</v>
      </c>
      <c r="F768">
        <v>540</v>
      </c>
      <c r="G768" t="s">
        <v>40</v>
      </c>
      <c r="H768">
        <v>8640</v>
      </c>
      <c r="I768">
        <v>5533.0359378098883</v>
      </c>
      <c r="J768">
        <v>3106.9640621901121</v>
      </c>
    </row>
    <row r="769" spans="1:10" x14ac:dyDescent="0.35">
      <c r="A769" s="1">
        <v>45330</v>
      </c>
      <c r="B769" t="s">
        <v>12</v>
      </c>
      <c r="C769" t="s">
        <v>20</v>
      </c>
      <c r="D769" t="s">
        <v>33</v>
      </c>
      <c r="E769">
        <v>18</v>
      </c>
      <c r="F769">
        <v>752</v>
      </c>
      <c r="G769" t="s">
        <v>38</v>
      </c>
      <c r="H769">
        <v>13536</v>
      </c>
      <c r="I769">
        <v>11237.110542643621</v>
      </c>
      <c r="J769">
        <v>2298.8894573563789</v>
      </c>
    </row>
    <row r="770" spans="1:10" x14ac:dyDescent="0.35">
      <c r="A770" s="1">
        <v>45445</v>
      </c>
      <c r="B770" t="s">
        <v>11</v>
      </c>
      <c r="C770" t="s">
        <v>18</v>
      </c>
      <c r="D770" t="s">
        <v>31</v>
      </c>
      <c r="E770">
        <v>12</v>
      </c>
      <c r="F770">
        <v>1658</v>
      </c>
      <c r="G770" t="s">
        <v>39</v>
      </c>
      <c r="H770">
        <v>19896</v>
      </c>
      <c r="I770">
        <v>15624.15799608431</v>
      </c>
      <c r="J770">
        <v>4271.8420039156899</v>
      </c>
    </row>
    <row r="771" spans="1:10" x14ac:dyDescent="0.35">
      <c r="A771" s="1">
        <v>45541</v>
      </c>
      <c r="B771" t="s">
        <v>10</v>
      </c>
      <c r="C771" t="s">
        <v>18</v>
      </c>
      <c r="D771" t="s">
        <v>37</v>
      </c>
      <c r="E771">
        <v>18</v>
      </c>
      <c r="F771">
        <v>694</v>
      </c>
      <c r="G771" t="s">
        <v>39</v>
      </c>
      <c r="H771">
        <v>12492</v>
      </c>
      <c r="I771">
        <v>10568.472294400741</v>
      </c>
      <c r="J771">
        <v>1923.5277055992649</v>
      </c>
    </row>
    <row r="772" spans="1:10" x14ac:dyDescent="0.35">
      <c r="A772" s="1">
        <v>45453</v>
      </c>
      <c r="B772" t="s">
        <v>12</v>
      </c>
      <c r="C772" t="s">
        <v>18</v>
      </c>
      <c r="D772" t="s">
        <v>31</v>
      </c>
      <c r="E772">
        <v>7</v>
      </c>
      <c r="F772">
        <v>328</v>
      </c>
      <c r="G772" t="s">
        <v>39</v>
      </c>
      <c r="H772">
        <v>2296</v>
      </c>
      <c r="I772">
        <v>1791.3469533315449</v>
      </c>
      <c r="J772">
        <v>504.65304666845492</v>
      </c>
    </row>
    <row r="773" spans="1:10" x14ac:dyDescent="0.35">
      <c r="A773" s="1">
        <v>45409</v>
      </c>
      <c r="B773" t="s">
        <v>10</v>
      </c>
      <c r="C773" t="s">
        <v>24</v>
      </c>
      <c r="D773" t="s">
        <v>31</v>
      </c>
      <c r="E773">
        <v>7</v>
      </c>
      <c r="F773">
        <v>443</v>
      </c>
      <c r="G773" t="s">
        <v>40</v>
      </c>
      <c r="H773">
        <v>3101</v>
      </c>
      <c r="I773">
        <v>2756.3269199057831</v>
      </c>
      <c r="J773">
        <v>344.67308009421731</v>
      </c>
    </row>
    <row r="774" spans="1:10" x14ac:dyDescent="0.35">
      <c r="A774" s="1">
        <v>45550</v>
      </c>
      <c r="B774" t="s">
        <v>11</v>
      </c>
      <c r="C774" t="s">
        <v>19</v>
      </c>
      <c r="D774" t="s">
        <v>35</v>
      </c>
      <c r="E774">
        <v>9</v>
      </c>
      <c r="F774">
        <v>1203</v>
      </c>
      <c r="G774" t="s">
        <v>40</v>
      </c>
      <c r="H774">
        <v>10827</v>
      </c>
      <c r="I774">
        <v>8532.5372800432706</v>
      </c>
      <c r="J774">
        <v>2294.462719956729</v>
      </c>
    </row>
    <row r="775" spans="1:10" x14ac:dyDescent="0.35">
      <c r="A775" s="1">
        <v>45597</v>
      </c>
      <c r="B775" t="s">
        <v>11</v>
      </c>
      <c r="C775" t="s">
        <v>21</v>
      </c>
      <c r="D775" t="s">
        <v>33</v>
      </c>
      <c r="E775">
        <v>1</v>
      </c>
      <c r="F775">
        <v>1476</v>
      </c>
      <c r="G775" t="s">
        <v>40</v>
      </c>
      <c r="H775">
        <v>1476</v>
      </c>
      <c r="I775">
        <v>1233.022706702531</v>
      </c>
      <c r="J775">
        <v>242.97729329746949</v>
      </c>
    </row>
    <row r="776" spans="1:10" x14ac:dyDescent="0.35">
      <c r="A776" s="1">
        <v>45559</v>
      </c>
      <c r="B776" t="s">
        <v>10</v>
      </c>
      <c r="C776" t="s">
        <v>22</v>
      </c>
      <c r="D776" t="s">
        <v>30</v>
      </c>
      <c r="E776">
        <v>6</v>
      </c>
      <c r="F776">
        <v>1519</v>
      </c>
      <c r="G776" t="s">
        <v>40</v>
      </c>
      <c r="H776">
        <v>9114</v>
      </c>
      <c r="I776">
        <v>7867.8840824607332</v>
      </c>
      <c r="J776">
        <v>1246.115917539267</v>
      </c>
    </row>
    <row r="777" spans="1:10" x14ac:dyDescent="0.35">
      <c r="A777" s="1">
        <v>45345</v>
      </c>
      <c r="B777" t="s">
        <v>12</v>
      </c>
      <c r="C777" t="s">
        <v>20</v>
      </c>
      <c r="D777" t="s">
        <v>32</v>
      </c>
      <c r="E777">
        <v>6</v>
      </c>
      <c r="F777">
        <v>1413</v>
      </c>
      <c r="G777" t="s">
        <v>38</v>
      </c>
      <c r="H777">
        <v>8478</v>
      </c>
      <c r="I777">
        <v>6904.271600676685</v>
      </c>
      <c r="J777">
        <v>1573.728399323315</v>
      </c>
    </row>
    <row r="778" spans="1:10" x14ac:dyDescent="0.35">
      <c r="A778" s="1">
        <v>45527</v>
      </c>
      <c r="B778" t="s">
        <v>10</v>
      </c>
      <c r="C778" t="s">
        <v>24</v>
      </c>
      <c r="D778" t="s">
        <v>35</v>
      </c>
      <c r="E778">
        <v>12</v>
      </c>
      <c r="F778">
        <v>1578</v>
      </c>
      <c r="G778" t="s">
        <v>40</v>
      </c>
      <c r="H778">
        <v>18936</v>
      </c>
      <c r="I778">
        <v>14339.683598604001</v>
      </c>
      <c r="J778">
        <v>4596.3164013959986</v>
      </c>
    </row>
    <row r="779" spans="1:10" x14ac:dyDescent="0.35">
      <c r="A779" s="1">
        <v>45513</v>
      </c>
      <c r="B779" t="s">
        <v>11</v>
      </c>
      <c r="C779" t="s">
        <v>17</v>
      </c>
      <c r="D779" t="s">
        <v>30</v>
      </c>
      <c r="E779">
        <v>12</v>
      </c>
      <c r="F779">
        <v>1966</v>
      </c>
      <c r="G779" t="s">
        <v>38</v>
      </c>
      <c r="H779">
        <v>23592</v>
      </c>
      <c r="I779">
        <v>16086.090156655981</v>
      </c>
      <c r="J779">
        <v>7505.9098433440176</v>
      </c>
    </row>
    <row r="780" spans="1:10" x14ac:dyDescent="0.35">
      <c r="A780" s="1">
        <v>45542</v>
      </c>
      <c r="B780" t="s">
        <v>14</v>
      </c>
      <c r="C780" t="s">
        <v>22</v>
      </c>
      <c r="D780" t="s">
        <v>36</v>
      </c>
      <c r="E780">
        <v>10</v>
      </c>
      <c r="F780">
        <v>1794</v>
      </c>
      <c r="G780" t="s">
        <v>40</v>
      </c>
      <c r="H780">
        <v>17940</v>
      </c>
      <c r="I780">
        <v>15362.879245295489</v>
      </c>
      <c r="J780">
        <v>2577.1207547045069</v>
      </c>
    </row>
    <row r="781" spans="1:10" x14ac:dyDescent="0.35">
      <c r="A781" s="1">
        <v>45604</v>
      </c>
      <c r="B781" t="s">
        <v>11</v>
      </c>
      <c r="C781" t="s">
        <v>19</v>
      </c>
      <c r="D781" t="s">
        <v>33</v>
      </c>
      <c r="E781">
        <v>6</v>
      </c>
      <c r="F781">
        <v>1088</v>
      </c>
      <c r="G781" t="s">
        <v>40</v>
      </c>
      <c r="H781">
        <v>6528</v>
      </c>
      <c r="I781">
        <v>4857.9644500655077</v>
      </c>
      <c r="J781">
        <v>1670.0355499344921</v>
      </c>
    </row>
    <row r="782" spans="1:10" x14ac:dyDescent="0.35">
      <c r="A782" s="1">
        <v>45403</v>
      </c>
      <c r="B782" t="s">
        <v>10</v>
      </c>
      <c r="C782" t="s">
        <v>24</v>
      </c>
      <c r="D782" t="s">
        <v>37</v>
      </c>
      <c r="E782">
        <v>17</v>
      </c>
      <c r="F782">
        <v>1251</v>
      </c>
      <c r="G782" t="s">
        <v>40</v>
      </c>
      <c r="H782">
        <v>21267</v>
      </c>
      <c r="I782">
        <v>16720.380554840311</v>
      </c>
      <c r="J782">
        <v>4546.6194451596893</v>
      </c>
    </row>
    <row r="783" spans="1:10" x14ac:dyDescent="0.35">
      <c r="A783" s="1">
        <v>45546</v>
      </c>
      <c r="B783" t="s">
        <v>12</v>
      </c>
      <c r="C783" t="s">
        <v>23</v>
      </c>
      <c r="D783" t="s">
        <v>33</v>
      </c>
      <c r="E783">
        <v>19</v>
      </c>
      <c r="F783">
        <v>1825</v>
      </c>
      <c r="G783" t="s">
        <v>39</v>
      </c>
      <c r="H783">
        <v>34675</v>
      </c>
      <c r="I783">
        <v>21629.154060306271</v>
      </c>
      <c r="J783">
        <v>13045.845939693731</v>
      </c>
    </row>
    <row r="784" spans="1:10" x14ac:dyDescent="0.35">
      <c r="A784" s="1">
        <v>45594</v>
      </c>
      <c r="B784" t="s">
        <v>12</v>
      </c>
      <c r="C784" t="s">
        <v>23</v>
      </c>
      <c r="D784" t="s">
        <v>36</v>
      </c>
      <c r="E784">
        <v>18</v>
      </c>
      <c r="F784">
        <v>1008</v>
      </c>
      <c r="G784" t="s">
        <v>39</v>
      </c>
      <c r="H784">
        <v>18144</v>
      </c>
      <c r="I784">
        <v>13593.58272204407</v>
      </c>
      <c r="J784">
        <v>4550.4172779559303</v>
      </c>
    </row>
    <row r="785" spans="1:10" x14ac:dyDescent="0.35">
      <c r="A785" s="1">
        <v>45498</v>
      </c>
      <c r="B785" t="s">
        <v>10</v>
      </c>
      <c r="C785" t="s">
        <v>21</v>
      </c>
      <c r="D785" t="s">
        <v>36</v>
      </c>
      <c r="E785">
        <v>6</v>
      </c>
      <c r="F785">
        <v>1666</v>
      </c>
      <c r="G785" t="s">
        <v>40</v>
      </c>
      <c r="H785">
        <v>9996</v>
      </c>
      <c r="I785">
        <v>8091.2351428867114</v>
      </c>
      <c r="J785">
        <v>1904.7648571132891</v>
      </c>
    </row>
    <row r="786" spans="1:10" x14ac:dyDescent="0.35">
      <c r="A786" s="1">
        <v>45520</v>
      </c>
      <c r="B786" t="s">
        <v>10</v>
      </c>
      <c r="C786" t="s">
        <v>21</v>
      </c>
      <c r="D786" t="s">
        <v>36</v>
      </c>
      <c r="E786">
        <v>19</v>
      </c>
      <c r="F786">
        <v>1482</v>
      </c>
      <c r="G786" t="s">
        <v>40</v>
      </c>
      <c r="H786">
        <v>28158</v>
      </c>
      <c r="I786">
        <v>21828.689051974528</v>
      </c>
      <c r="J786">
        <v>6329.310948025468</v>
      </c>
    </row>
    <row r="787" spans="1:10" x14ac:dyDescent="0.35">
      <c r="A787" s="1">
        <v>45632</v>
      </c>
      <c r="B787" t="s">
        <v>12</v>
      </c>
      <c r="C787" t="s">
        <v>19</v>
      </c>
      <c r="D787" t="s">
        <v>34</v>
      </c>
      <c r="E787">
        <v>10</v>
      </c>
      <c r="F787">
        <v>626</v>
      </c>
      <c r="G787" t="s">
        <v>40</v>
      </c>
      <c r="H787">
        <v>6260</v>
      </c>
      <c r="I787">
        <v>4598.3860196538344</v>
      </c>
      <c r="J787">
        <v>1661.613980346166</v>
      </c>
    </row>
    <row r="788" spans="1:10" x14ac:dyDescent="0.35">
      <c r="A788" s="1">
        <v>45357</v>
      </c>
      <c r="B788" t="s">
        <v>11</v>
      </c>
      <c r="C788" t="s">
        <v>19</v>
      </c>
      <c r="D788" t="s">
        <v>32</v>
      </c>
      <c r="E788">
        <v>8</v>
      </c>
      <c r="F788">
        <v>1436</v>
      </c>
      <c r="G788" t="s">
        <v>40</v>
      </c>
      <c r="H788">
        <v>11488</v>
      </c>
      <c r="I788">
        <v>7662.8199044460598</v>
      </c>
      <c r="J788">
        <v>3825.1800955539402</v>
      </c>
    </row>
    <row r="789" spans="1:10" x14ac:dyDescent="0.35">
      <c r="A789" s="1">
        <v>45366</v>
      </c>
      <c r="B789" t="s">
        <v>12</v>
      </c>
      <c r="C789" t="s">
        <v>21</v>
      </c>
      <c r="D789" t="s">
        <v>31</v>
      </c>
      <c r="F789">
        <v>174</v>
      </c>
      <c r="G789" t="s">
        <v>40</v>
      </c>
    </row>
    <row r="790" spans="1:10" x14ac:dyDescent="0.35">
      <c r="A790" s="1">
        <v>45394</v>
      </c>
      <c r="B790" t="s">
        <v>11</v>
      </c>
      <c r="C790" t="s">
        <v>20</v>
      </c>
      <c r="D790" t="s">
        <v>33</v>
      </c>
      <c r="E790">
        <v>7</v>
      </c>
      <c r="F790">
        <v>1669</v>
      </c>
      <c r="G790" t="s">
        <v>38</v>
      </c>
      <c r="H790">
        <v>11683</v>
      </c>
      <c r="I790">
        <v>9465.4183129230478</v>
      </c>
      <c r="J790">
        <v>2217.5816870769522</v>
      </c>
    </row>
    <row r="791" spans="1:10" x14ac:dyDescent="0.35">
      <c r="A791" s="1">
        <v>45483</v>
      </c>
      <c r="B791" t="s">
        <v>10</v>
      </c>
      <c r="C791" t="s">
        <v>20</v>
      </c>
      <c r="D791" t="s">
        <v>30</v>
      </c>
      <c r="E791">
        <v>1</v>
      </c>
      <c r="F791">
        <v>1994</v>
      </c>
      <c r="G791" t="s">
        <v>38</v>
      </c>
      <c r="H791">
        <v>1994</v>
      </c>
      <c r="I791">
        <v>1330.510876045729</v>
      </c>
      <c r="J791">
        <v>663.48912395427146</v>
      </c>
    </row>
    <row r="792" spans="1:10" x14ac:dyDescent="0.35">
      <c r="A792" s="1">
        <v>45543</v>
      </c>
      <c r="B792" t="s">
        <v>10</v>
      </c>
      <c r="C792" t="s">
        <v>24</v>
      </c>
      <c r="D792" t="s">
        <v>34</v>
      </c>
      <c r="E792">
        <v>18</v>
      </c>
      <c r="F792">
        <v>295</v>
      </c>
      <c r="G792" t="s">
        <v>40</v>
      </c>
      <c r="H792">
        <v>5310</v>
      </c>
      <c r="I792">
        <v>4176.4104981870487</v>
      </c>
      <c r="J792">
        <v>1133.5895018129511</v>
      </c>
    </row>
    <row r="793" spans="1:10" x14ac:dyDescent="0.35">
      <c r="A793" s="1">
        <v>45517</v>
      </c>
      <c r="B793" t="s">
        <v>11</v>
      </c>
      <c r="E793">
        <v>12</v>
      </c>
      <c r="F793">
        <v>1966</v>
      </c>
      <c r="G793" t="s">
        <v>38</v>
      </c>
      <c r="H793">
        <v>23592</v>
      </c>
      <c r="I793">
        <v>18329.126926627781</v>
      </c>
      <c r="J793">
        <v>5262.873073372215</v>
      </c>
    </row>
    <row r="794" spans="1:10" x14ac:dyDescent="0.35">
      <c r="A794" s="1">
        <v>45585</v>
      </c>
      <c r="B794" t="s">
        <v>10</v>
      </c>
      <c r="C794" t="s">
        <v>24</v>
      </c>
      <c r="D794" t="s">
        <v>31</v>
      </c>
      <c r="E794">
        <v>16</v>
      </c>
      <c r="F794">
        <v>128</v>
      </c>
      <c r="G794" t="s">
        <v>40</v>
      </c>
      <c r="H794">
        <v>2048</v>
      </c>
      <c r="I794">
        <v>1825.024499335289</v>
      </c>
      <c r="J794">
        <v>222.97550066471101</v>
      </c>
    </row>
    <row r="795" spans="1:10" x14ac:dyDescent="0.35">
      <c r="A795" s="1">
        <v>45597</v>
      </c>
      <c r="B795" t="s">
        <v>11</v>
      </c>
      <c r="C795" t="s">
        <v>17</v>
      </c>
      <c r="D795" t="s">
        <v>31</v>
      </c>
      <c r="E795">
        <v>10</v>
      </c>
      <c r="F795">
        <v>805</v>
      </c>
      <c r="G795" t="s">
        <v>38</v>
      </c>
      <c r="H795">
        <v>8050</v>
      </c>
      <c r="I795">
        <v>4976.7881496004766</v>
      </c>
      <c r="J795">
        <v>3073.211850399523</v>
      </c>
    </row>
    <row r="796" spans="1:10" x14ac:dyDescent="0.35">
      <c r="A796" s="1">
        <v>45389</v>
      </c>
      <c r="B796" t="s">
        <v>13</v>
      </c>
      <c r="C796" t="s">
        <v>19</v>
      </c>
      <c r="D796" t="s">
        <v>37</v>
      </c>
      <c r="E796">
        <v>10</v>
      </c>
      <c r="F796">
        <v>1120</v>
      </c>
      <c r="G796" t="s">
        <v>40</v>
      </c>
      <c r="H796">
        <v>11200</v>
      </c>
      <c r="I796">
        <v>7083.2919605147663</v>
      </c>
      <c r="J796">
        <v>4116.7080394852337</v>
      </c>
    </row>
    <row r="797" spans="1:10" x14ac:dyDescent="0.35">
      <c r="A797" s="1">
        <v>45629</v>
      </c>
      <c r="B797" t="s">
        <v>12</v>
      </c>
      <c r="C797" t="s">
        <v>22</v>
      </c>
      <c r="D797" t="s">
        <v>36</v>
      </c>
      <c r="E797">
        <v>14</v>
      </c>
      <c r="F797">
        <v>115</v>
      </c>
      <c r="G797" t="s">
        <v>40</v>
      </c>
      <c r="H797">
        <v>1610</v>
      </c>
      <c r="I797">
        <v>1210.4383139069009</v>
      </c>
      <c r="J797">
        <v>399.5616860930993</v>
      </c>
    </row>
    <row r="798" spans="1:10" x14ac:dyDescent="0.35">
      <c r="A798" s="1">
        <v>45577</v>
      </c>
      <c r="B798" t="s">
        <v>13</v>
      </c>
      <c r="C798" t="s">
        <v>24</v>
      </c>
      <c r="D798" t="s">
        <v>32</v>
      </c>
      <c r="E798">
        <v>10</v>
      </c>
      <c r="F798">
        <v>1546</v>
      </c>
      <c r="G798" t="s">
        <v>40</v>
      </c>
      <c r="H798">
        <v>15460</v>
      </c>
      <c r="I798">
        <v>11720.73536999016</v>
      </c>
      <c r="J798">
        <v>3739.2646300098422</v>
      </c>
    </row>
    <row r="799" spans="1:10" x14ac:dyDescent="0.35">
      <c r="A799" s="1">
        <v>45626</v>
      </c>
      <c r="B799" t="s">
        <v>11</v>
      </c>
      <c r="C799" t="s">
        <v>24</v>
      </c>
      <c r="D799" t="s">
        <v>37</v>
      </c>
      <c r="E799">
        <v>10</v>
      </c>
      <c r="F799">
        <v>1712</v>
      </c>
      <c r="G799" t="s">
        <v>40</v>
      </c>
      <c r="H799">
        <v>17120</v>
      </c>
      <c r="I799">
        <v>10477.068455623359</v>
      </c>
      <c r="J799">
        <v>6642.9315443766409</v>
      </c>
    </row>
    <row r="800" spans="1:10" x14ac:dyDescent="0.35">
      <c r="A800" s="1">
        <v>45638</v>
      </c>
      <c r="B800" t="s">
        <v>12</v>
      </c>
      <c r="C800" t="s">
        <v>17</v>
      </c>
      <c r="D800" t="s">
        <v>35</v>
      </c>
      <c r="E800">
        <v>11</v>
      </c>
      <c r="F800">
        <v>904</v>
      </c>
      <c r="G800" t="s">
        <v>38</v>
      </c>
      <c r="H800">
        <v>9944</v>
      </c>
      <c r="I800">
        <v>8430.0918915079183</v>
      </c>
      <c r="J800">
        <v>1513.908108492082</v>
      </c>
    </row>
    <row r="801" spans="1:10" x14ac:dyDescent="0.35">
      <c r="A801" s="1">
        <v>45599</v>
      </c>
      <c r="B801" t="s">
        <v>11</v>
      </c>
      <c r="C801" t="s">
        <v>18</v>
      </c>
      <c r="D801" t="s">
        <v>34</v>
      </c>
      <c r="E801">
        <v>2</v>
      </c>
      <c r="F801">
        <v>1716</v>
      </c>
      <c r="G801" t="s">
        <v>39</v>
      </c>
      <c r="H801">
        <v>3432</v>
      </c>
      <c r="I801">
        <v>2568.5673136467422</v>
      </c>
      <c r="J801">
        <v>863.4326863532583</v>
      </c>
    </row>
    <row r="802" spans="1:10" x14ac:dyDescent="0.35">
      <c r="A802" s="1">
        <v>45540</v>
      </c>
      <c r="B802" t="s">
        <v>12</v>
      </c>
      <c r="C802" t="s">
        <v>19</v>
      </c>
      <c r="D802" t="s">
        <v>34</v>
      </c>
      <c r="E802">
        <v>8</v>
      </c>
      <c r="F802">
        <v>1528</v>
      </c>
      <c r="G802" t="s">
        <v>40</v>
      </c>
      <c r="H802">
        <v>12224</v>
      </c>
      <c r="I802">
        <v>8605.6119476801468</v>
      </c>
      <c r="J802">
        <v>3618.3880523198532</v>
      </c>
    </row>
    <row r="803" spans="1:10" x14ac:dyDescent="0.35">
      <c r="A803" s="1">
        <v>45457</v>
      </c>
      <c r="B803" t="s">
        <v>12</v>
      </c>
      <c r="C803" t="s">
        <v>19</v>
      </c>
      <c r="D803" t="s">
        <v>32</v>
      </c>
      <c r="E803">
        <v>7</v>
      </c>
      <c r="F803">
        <v>1039</v>
      </c>
      <c r="G803" t="s">
        <v>40</v>
      </c>
      <c r="H803">
        <v>7273</v>
      </c>
      <c r="I803">
        <v>5059.5070421045984</v>
      </c>
      <c r="J803">
        <v>2213.492957895402</v>
      </c>
    </row>
    <row r="804" spans="1:10" x14ac:dyDescent="0.35">
      <c r="A804" s="1">
        <v>45626</v>
      </c>
      <c r="B804" t="s">
        <v>12</v>
      </c>
      <c r="C804" t="s">
        <v>23</v>
      </c>
      <c r="D804" t="s">
        <v>31</v>
      </c>
      <c r="E804">
        <v>8</v>
      </c>
      <c r="F804">
        <v>1759</v>
      </c>
      <c r="G804" t="s">
        <v>39</v>
      </c>
      <c r="H804">
        <v>14072</v>
      </c>
      <c r="I804">
        <v>12079.71655764913</v>
      </c>
      <c r="J804">
        <v>1992.2834423508671</v>
      </c>
    </row>
    <row r="805" spans="1:10" x14ac:dyDescent="0.35">
      <c r="A805" s="1">
        <v>45321</v>
      </c>
      <c r="B805" t="s">
        <v>12</v>
      </c>
      <c r="C805" t="s">
        <v>18</v>
      </c>
      <c r="D805" t="s">
        <v>30</v>
      </c>
      <c r="E805">
        <v>1</v>
      </c>
      <c r="F805">
        <v>1654</v>
      </c>
      <c r="G805" t="s">
        <v>39</v>
      </c>
      <c r="H805">
        <v>1654</v>
      </c>
      <c r="I805">
        <v>1090.018848321663</v>
      </c>
      <c r="J805">
        <v>563.9811516783368</v>
      </c>
    </row>
    <row r="806" spans="1:10" x14ac:dyDescent="0.35">
      <c r="A806" s="1">
        <v>45538</v>
      </c>
      <c r="B806" t="s">
        <v>11</v>
      </c>
      <c r="C806" t="s">
        <v>17</v>
      </c>
      <c r="D806" t="s">
        <v>34</v>
      </c>
      <c r="E806">
        <v>2</v>
      </c>
      <c r="F806">
        <v>1066</v>
      </c>
      <c r="G806" t="s">
        <v>38</v>
      </c>
      <c r="H806">
        <v>2132</v>
      </c>
      <c r="I806">
        <v>1381.803164394697</v>
      </c>
      <c r="J806">
        <v>750.19683560530325</v>
      </c>
    </row>
    <row r="807" spans="1:10" x14ac:dyDescent="0.35">
      <c r="A807" s="1">
        <v>45397</v>
      </c>
      <c r="B807" t="s">
        <v>12</v>
      </c>
      <c r="C807" t="s">
        <v>19</v>
      </c>
      <c r="D807" t="s">
        <v>32</v>
      </c>
      <c r="E807">
        <v>18</v>
      </c>
      <c r="F807">
        <v>1737</v>
      </c>
      <c r="G807" t="s">
        <v>40</v>
      </c>
      <c r="H807">
        <v>31266</v>
      </c>
      <c r="I807">
        <v>20759.171968408551</v>
      </c>
      <c r="J807">
        <v>10506.828031591451</v>
      </c>
    </row>
    <row r="808" spans="1:10" x14ac:dyDescent="0.35">
      <c r="A808" s="1">
        <v>45342</v>
      </c>
      <c r="B808" t="s">
        <v>12</v>
      </c>
      <c r="C808" t="s">
        <v>18</v>
      </c>
      <c r="D808" t="s">
        <v>34</v>
      </c>
      <c r="E808">
        <v>15</v>
      </c>
      <c r="F808">
        <v>1200</v>
      </c>
      <c r="G808" t="s">
        <v>39</v>
      </c>
      <c r="H808">
        <v>18000</v>
      </c>
      <c r="I808">
        <v>14175.121757320599</v>
      </c>
      <c r="J808">
        <v>3824.8782426793969</v>
      </c>
    </row>
    <row r="809" spans="1:10" x14ac:dyDescent="0.35">
      <c r="A809" s="1">
        <v>45372</v>
      </c>
      <c r="B809" t="s">
        <v>13</v>
      </c>
      <c r="C809" t="s">
        <v>21</v>
      </c>
      <c r="D809" t="s">
        <v>34</v>
      </c>
      <c r="E809">
        <v>1</v>
      </c>
      <c r="F809">
        <v>328</v>
      </c>
      <c r="G809" t="s">
        <v>40</v>
      </c>
      <c r="H809">
        <v>328</v>
      </c>
      <c r="I809">
        <v>276.59559619383549</v>
      </c>
      <c r="J809">
        <v>51.40440380616451</v>
      </c>
    </row>
    <row r="810" spans="1:10" x14ac:dyDescent="0.35">
      <c r="A810" s="1">
        <v>45424</v>
      </c>
      <c r="B810" t="s">
        <v>10</v>
      </c>
      <c r="C810" t="s">
        <v>18</v>
      </c>
      <c r="D810" t="s">
        <v>36</v>
      </c>
      <c r="E810">
        <v>5</v>
      </c>
      <c r="F810">
        <v>1061</v>
      </c>
      <c r="G810" t="s">
        <v>39</v>
      </c>
      <c r="H810">
        <v>5305</v>
      </c>
      <c r="I810">
        <v>3709.7525911638868</v>
      </c>
      <c r="J810">
        <v>1595.247408836113</v>
      </c>
    </row>
    <row r="811" spans="1:10" x14ac:dyDescent="0.35">
      <c r="A811" s="1">
        <v>45576</v>
      </c>
      <c r="B811" t="s">
        <v>10</v>
      </c>
      <c r="C811" t="s">
        <v>20</v>
      </c>
      <c r="D811" t="s">
        <v>35</v>
      </c>
      <c r="E811">
        <v>2</v>
      </c>
      <c r="F811">
        <v>1420</v>
      </c>
      <c r="G811" t="s">
        <v>38</v>
      </c>
      <c r="H811">
        <v>2840</v>
      </c>
      <c r="I811">
        <v>1851.789622393821</v>
      </c>
      <c r="J811">
        <v>988.21037760617946</v>
      </c>
    </row>
    <row r="812" spans="1:10" x14ac:dyDescent="0.35">
      <c r="A812" s="1">
        <v>45429</v>
      </c>
      <c r="B812" t="s">
        <v>13</v>
      </c>
      <c r="C812" t="s">
        <v>23</v>
      </c>
      <c r="E812">
        <v>3</v>
      </c>
      <c r="F812">
        <v>1633</v>
      </c>
      <c r="G812" t="s">
        <v>39</v>
      </c>
      <c r="H812">
        <v>4899</v>
      </c>
      <c r="I812">
        <v>3246.8526681637841</v>
      </c>
      <c r="J812">
        <v>1652.1473318362159</v>
      </c>
    </row>
    <row r="813" spans="1:10" x14ac:dyDescent="0.35">
      <c r="A813" s="1">
        <v>45475</v>
      </c>
      <c r="B813" t="s">
        <v>13</v>
      </c>
      <c r="C813" t="s">
        <v>21</v>
      </c>
      <c r="D813" t="s">
        <v>35</v>
      </c>
      <c r="E813">
        <v>19</v>
      </c>
      <c r="F813">
        <v>814</v>
      </c>
      <c r="G813" t="s">
        <v>40</v>
      </c>
      <c r="H813">
        <v>15466</v>
      </c>
      <c r="I813">
        <v>12152.488895567119</v>
      </c>
      <c r="J813">
        <v>3313.5111044328751</v>
      </c>
    </row>
    <row r="814" spans="1:10" x14ac:dyDescent="0.35">
      <c r="A814" s="1">
        <v>45621</v>
      </c>
      <c r="B814" t="s">
        <v>11</v>
      </c>
      <c r="C814" t="s">
        <v>22</v>
      </c>
      <c r="D814" t="s">
        <v>34</v>
      </c>
      <c r="E814">
        <v>18</v>
      </c>
      <c r="F814">
        <v>1083</v>
      </c>
      <c r="G814" t="s">
        <v>40</v>
      </c>
      <c r="H814">
        <v>19494</v>
      </c>
      <c r="I814">
        <v>13135.263209946061</v>
      </c>
      <c r="J814">
        <v>6358.7367900539411</v>
      </c>
    </row>
    <row r="815" spans="1:10" x14ac:dyDescent="0.35">
      <c r="A815" s="1">
        <v>45564</v>
      </c>
      <c r="B815" t="s">
        <v>11</v>
      </c>
      <c r="C815" t="s">
        <v>24</v>
      </c>
      <c r="D815" t="s">
        <v>37</v>
      </c>
      <c r="E815">
        <v>18</v>
      </c>
      <c r="F815">
        <v>672</v>
      </c>
      <c r="G815" t="s">
        <v>40</v>
      </c>
      <c r="H815">
        <v>12096</v>
      </c>
      <c r="I815">
        <v>10441.07450352784</v>
      </c>
      <c r="J815">
        <v>1654.9254964721599</v>
      </c>
    </row>
    <row r="816" spans="1:10" x14ac:dyDescent="0.35">
      <c r="A816" s="1">
        <v>45631</v>
      </c>
      <c r="B816" t="s">
        <v>11</v>
      </c>
      <c r="C816" t="s">
        <v>23</v>
      </c>
      <c r="D816" t="s">
        <v>30</v>
      </c>
      <c r="E816">
        <v>14</v>
      </c>
      <c r="F816">
        <v>1661</v>
      </c>
      <c r="G816" t="s">
        <v>39</v>
      </c>
      <c r="H816">
        <v>23254</v>
      </c>
      <c r="I816">
        <v>14677.166866665129</v>
      </c>
      <c r="J816">
        <v>8576.8331333348651</v>
      </c>
    </row>
    <row r="817" spans="1:10" x14ac:dyDescent="0.35">
      <c r="A817" s="1">
        <v>45360</v>
      </c>
      <c r="B817" t="s">
        <v>13</v>
      </c>
      <c r="C817" t="s">
        <v>22</v>
      </c>
      <c r="D817" t="s">
        <v>31</v>
      </c>
      <c r="E817">
        <v>8</v>
      </c>
      <c r="F817">
        <v>1706</v>
      </c>
      <c r="G817" t="s">
        <v>40</v>
      </c>
      <c r="H817">
        <v>13648</v>
      </c>
      <c r="I817">
        <v>8321.3297256322021</v>
      </c>
      <c r="J817">
        <v>5326.6702743677979</v>
      </c>
    </row>
    <row r="818" spans="1:10" x14ac:dyDescent="0.35">
      <c r="A818" s="1">
        <v>45325</v>
      </c>
      <c r="B818" t="s">
        <v>13</v>
      </c>
      <c r="C818" t="s">
        <v>24</v>
      </c>
      <c r="D818" t="s">
        <v>34</v>
      </c>
      <c r="E818">
        <v>12</v>
      </c>
      <c r="F818">
        <v>714</v>
      </c>
      <c r="G818" t="s">
        <v>40</v>
      </c>
      <c r="H818">
        <v>8568</v>
      </c>
      <c r="I818">
        <v>5367.9674434179069</v>
      </c>
      <c r="J818">
        <v>3200.0325565820931</v>
      </c>
    </row>
    <row r="819" spans="1:10" x14ac:dyDescent="0.35">
      <c r="A819" s="1">
        <v>45553</v>
      </c>
      <c r="B819" t="s">
        <v>12</v>
      </c>
      <c r="C819" t="s">
        <v>20</v>
      </c>
      <c r="D819" t="s">
        <v>35</v>
      </c>
      <c r="E819">
        <v>10</v>
      </c>
      <c r="F819">
        <v>425</v>
      </c>
      <c r="G819" t="s">
        <v>38</v>
      </c>
      <c r="H819">
        <v>4250</v>
      </c>
      <c r="I819">
        <v>3628.1949784925591</v>
      </c>
      <c r="J819">
        <v>621.80502150744132</v>
      </c>
    </row>
    <row r="820" spans="1:10" x14ac:dyDescent="0.35">
      <c r="A820" s="1">
        <v>45344</v>
      </c>
      <c r="B820" t="s">
        <v>11</v>
      </c>
      <c r="C820" t="s">
        <v>18</v>
      </c>
      <c r="D820" t="s">
        <v>35</v>
      </c>
      <c r="E820">
        <v>17</v>
      </c>
      <c r="F820">
        <v>1486</v>
      </c>
      <c r="G820" t="s">
        <v>39</v>
      </c>
      <c r="H820">
        <v>25262</v>
      </c>
      <c r="I820">
        <v>20092.60803773818</v>
      </c>
      <c r="J820">
        <v>5169.3919622618232</v>
      </c>
    </row>
    <row r="821" spans="1:10" x14ac:dyDescent="0.35">
      <c r="A821" s="1">
        <v>45496</v>
      </c>
      <c r="B821" t="s">
        <v>11</v>
      </c>
      <c r="C821" t="s">
        <v>19</v>
      </c>
      <c r="D821" t="s">
        <v>35</v>
      </c>
      <c r="E821">
        <v>11</v>
      </c>
      <c r="F821">
        <v>1792</v>
      </c>
      <c r="G821" t="s">
        <v>40</v>
      </c>
      <c r="H821">
        <v>19712</v>
      </c>
      <c r="I821">
        <v>17490.918662402171</v>
      </c>
      <c r="J821">
        <v>2221.0813375978291</v>
      </c>
    </row>
    <row r="822" spans="1:10" x14ac:dyDescent="0.35">
      <c r="A822" s="1">
        <v>45417</v>
      </c>
      <c r="B822" t="s">
        <v>11</v>
      </c>
      <c r="C822" t="s">
        <v>21</v>
      </c>
      <c r="D822" t="s">
        <v>34</v>
      </c>
      <c r="F822">
        <v>974</v>
      </c>
      <c r="G822" t="s">
        <v>40</v>
      </c>
    </row>
    <row r="823" spans="1:10" x14ac:dyDescent="0.35">
      <c r="A823" s="1">
        <v>45526</v>
      </c>
      <c r="B823" t="s">
        <v>10</v>
      </c>
      <c r="C823" t="s">
        <v>17</v>
      </c>
      <c r="D823" t="s">
        <v>32</v>
      </c>
      <c r="E823">
        <v>4</v>
      </c>
      <c r="F823">
        <v>458</v>
      </c>
      <c r="G823" t="s">
        <v>38</v>
      </c>
      <c r="H823">
        <v>1832</v>
      </c>
      <c r="I823">
        <v>1216.087899154131</v>
      </c>
      <c r="J823">
        <v>615.91210084586919</v>
      </c>
    </row>
    <row r="824" spans="1:10" x14ac:dyDescent="0.35">
      <c r="A824" s="1">
        <v>45334</v>
      </c>
      <c r="B824" t="s">
        <v>12</v>
      </c>
      <c r="C824" t="s">
        <v>21</v>
      </c>
      <c r="D824" t="s">
        <v>37</v>
      </c>
      <c r="E824">
        <v>1</v>
      </c>
      <c r="F824">
        <v>1829</v>
      </c>
      <c r="G824" t="s">
        <v>40</v>
      </c>
      <c r="H824">
        <v>1829</v>
      </c>
      <c r="I824">
        <v>1405.7558138114539</v>
      </c>
      <c r="J824">
        <v>423.24418618854588</v>
      </c>
    </row>
    <row r="825" spans="1:10" x14ac:dyDescent="0.35">
      <c r="A825" s="1">
        <v>45531</v>
      </c>
      <c r="B825" t="s">
        <v>11</v>
      </c>
      <c r="C825" t="s">
        <v>20</v>
      </c>
      <c r="D825" t="s">
        <v>32</v>
      </c>
      <c r="E825">
        <v>15</v>
      </c>
      <c r="F825">
        <v>1910</v>
      </c>
      <c r="G825" t="s">
        <v>38</v>
      </c>
      <c r="H825">
        <v>28650</v>
      </c>
      <c r="I825">
        <v>21812.634059094398</v>
      </c>
      <c r="J825">
        <v>6837.3659409055981</v>
      </c>
    </row>
    <row r="826" spans="1:10" x14ac:dyDescent="0.35">
      <c r="A826" s="1">
        <v>45402</v>
      </c>
      <c r="B826" t="s">
        <v>11</v>
      </c>
      <c r="C826" t="s">
        <v>22</v>
      </c>
      <c r="D826" t="s">
        <v>31</v>
      </c>
      <c r="E826">
        <v>13</v>
      </c>
      <c r="F826">
        <v>423</v>
      </c>
      <c r="G826" t="s">
        <v>40</v>
      </c>
      <c r="H826">
        <v>5499</v>
      </c>
      <c r="I826">
        <v>4274.4122733258218</v>
      </c>
      <c r="J826">
        <v>1224.5877266741779</v>
      </c>
    </row>
    <row r="827" spans="1:10" x14ac:dyDescent="0.35">
      <c r="A827" s="1">
        <v>45540</v>
      </c>
      <c r="B827" t="s">
        <v>11</v>
      </c>
      <c r="C827" t="s">
        <v>17</v>
      </c>
      <c r="D827" t="s">
        <v>34</v>
      </c>
      <c r="E827">
        <v>8</v>
      </c>
      <c r="F827">
        <v>1821</v>
      </c>
      <c r="G827" t="s">
        <v>38</v>
      </c>
      <c r="H827">
        <v>14568</v>
      </c>
      <c r="I827">
        <v>10259.66199337079</v>
      </c>
      <c r="J827">
        <v>4308.338006629212</v>
      </c>
    </row>
    <row r="828" spans="1:10" x14ac:dyDescent="0.35">
      <c r="A828" s="1">
        <v>45442</v>
      </c>
      <c r="B828" t="s">
        <v>10</v>
      </c>
      <c r="C828" t="s">
        <v>19</v>
      </c>
      <c r="D828" t="s">
        <v>35</v>
      </c>
      <c r="E828">
        <v>4</v>
      </c>
      <c r="F828">
        <v>1449</v>
      </c>
      <c r="G828" t="s">
        <v>40</v>
      </c>
      <c r="H828">
        <v>5796</v>
      </c>
      <c r="I828">
        <v>3487.8535993359651</v>
      </c>
      <c r="J828">
        <v>2308.1464006640349</v>
      </c>
    </row>
    <row r="829" spans="1:10" x14ac:dyDescent="0.35">
      <c r="A829" s="1">
        <v>45474</v>
      </c>
      <c r="B829" t="s">
        <v>10</v>
      </c>
      <c r="C829" t="s">
        <v>20</v>
      </c>
      <c r="D829" t="s">
        <v>37</v>
      </c>
      <c r="E829">
        <v>10</v>
      </c>
      <c r="F829">
        <v>1748</v>
      </c>
      <c r="G829" t="s">
        <v>38</v>
      </c>
      <c r="H829">
        <v>17480</v>
      </c>
      <c r="I829">
        <v>10671.705988020591</v>
      </c>
      <c r="J829">
        <v>6808.2940119794057</v>
      </c>
    </row>
    <row r="830" spans="1:10" x14ac:dyDescent="0.35">
      <c r="A830" s="1">
        <v>45627</v>
      </c>
      <c r="B830" t="s">
        <v>13</v>
      </c>
      <c r="C830" t="s">
        <v>17</v>
      </c>
      <c r="D830" t="s">
        <v>37</v>
      </c>
      <c r="E830">
        <v>19</v>
      </c>
      <c r="F830">
        <v>1948</v>
      </c>
      <c r="G830" t="s">
        <v>38</v>
      </c>
      <c r="H830">
        <v>37012</v>
      </c>
      <c r="I830">
        <v>29578.063497051011</v>
      </c>
      <c r="J830">
        <v>7433.9365029489854</v>
      </c>
    </row>
    <row r="831" spans="1:10" x14ac:dyDescent="0.35">
      <c r="A831" s="1">
        <v>45386</v>
      </c>
      <c r="B831" t="s">
        <v>12</v>
      </c>
      <c r="C831" t="s">
        <v>20</v>
      </c>
      <c r="D831" t="s">
        <v>33</v>
      </c>
      <c r="E831">
        <v>18</v>
      </c>
      <c r="F831">
        <v>264</v>
      </c>
      <c r="G831" t="s">
        <v>38</v>
      </c>
      <c r="H831">
        <v>4752</v>
      </c>
      <c r="I831">
        <v>3597.156673450454</v>
      </c>
      <c r="J831">
        <v>1154.843326549546</v>
      </c>
    </row>
    <row r="832" spans="1:10" x14ac:dyDescent="0.35">
      <c r="A832" s="1">
        <v>45299</v>
      </c>
      <c r="B832" t="s">
        <v>13</v>
      </c>
      <c r="C832" t="s">
        <v>18</v>
      </c>
      <c r="D832" t="s">
        <v>31</v>
      </c>
      <c r="E832">
        <v>5</v>
      </c>
      <c r="F832">
        <v>1696</v>
      </c>
      <c r="G832" t="s">
        <v>39</v>
      </c>
      <c r="H832">
        <v>8480</v>
      </c>
      <c r="I832">
        <v>7176.6526445528407</v>
      </c>
      <c r="J832">
        <v>1303.3473554471591</v>
      </c>
    </row>
    <row r="833" spans="1:10" x14ac:dyDescent="0.35">
      <c r="A833" s="1">
        <v>45651</v>
      </c>
      <c r="B833" t="s">
        <v>12</v>
      </c>
      <c r="C833" t="s">
        <v>20</v>
      </c>
      <c r="D833" t="s">
        <v>30</v>
      </c>
      <c r="E833">
        <v>19</v>
      </c>
      <c r="F833">
        <v>1727</v>
      </c>
      <c r="G833" t="s">
        <v>38</v>
      </c>
      <c r="H833">
        <v>32813</v>
      </c>
      <c r="I833">
        <v>22645.004608911349</v>
      </c>
      <c r="J833">
        <v>10167.995391088651</v>
      </c>
    </row>
    <row r="834" spans="1:10" x14ac:dyDescent="0.35">
      <c r="A834" s="1">
        <v>45475</v>
      </c>
      <c r="B834" t="s">
        <v>10</v>
      </c>
      <c r="C834" t="s">
        <v>19</v>
      </c>
      <c r="D834" t="s">
        <v>30</v>
      </c>
      <c r="E834">
        <v>16</v>
      </c>
      <c r="F834">
        <v>897</v>
      </c>
      <c r="G834" t="s">
        <v>40</v>
      </c>
      <c r="H834">
        <v>14352</v>
      </c>
      <c r="I834">
        <v>12122.29726462255</v>
      </c>
      <c r="J834">
        <v>2229.702735377452</v>
      </c>
    </row>
    <row r="835" spans="1:10" x14ac:dyDescent="0.35">
      <c r="A835" s="1">
        <v>45572</v>
      </c>
      <c r="B835" t="s">
        <v>50</v>
      </c>
      <c r="C835" t="s">
        <v>23</v>
      </c>
      <c r="D835" t="s">
        <v>37</v>
      </c>
      <c r="E835">
        <v>1</v>
      </c>
      <c r="F835">
        <v>554</v>
      </c>
      <c r="G835" t="s">
        <v>39</v>
      </c>
      <c r="H835">
        <v>554</v>
      </c>
      <c r="I835">
        <v>403.11667291564652</v>
      </c>
      <c r="J835">
        <v>150.88332708435351</v>
      </c>
    </row>
    <row r="836" spans="1:10" x14ac:dyDescent="0.35">
      <c r="A836" s="1">
        <v>45486</v>
      </c>
      <c r="B836" t="s">
        <v>13</v>
      </c>
      <c r="C836" t="s">
        <v>24</v>
      </c>
      <c r="D836" t="s">
        <v>34</v>
      </c>
      <c r="E836">
        <v>12</v>
      </c>
      <c r="F836">
        <v>1276</v>
      </c>
      <c r="G836" t="s">
        <v>40</v>
      </c>
      <c r="H836">
        <v>15312</v>
      </c>
      <c r="I836">
        <v>9631.3937038456552</v>
      </c>
      <c r="J836">
        <v>5680.6062961543448</v>
      </c>
    </row>
    <row r="837" spans="1:10" x14ac:dyDescent="0.35">
      <c r="A837" s="1">
        <v>45643</v>
      </c>
      <c r="B837" t="s">
        <v>11</v>
      </c>
      <c r="C837" t="s">
        <v>17</v>
      </c>
      <c r="D837" t="s">
        <v>35</v>
      </c>
      <c r="E837">
        <v>2</v>
      </c>
      <c r="F837">
        <v>1860</v>
      </c>
      <c r="G837" t="s">
        <v>38</v>
      </c>
      <c r="H837">
        <v>3720</v>
      </c>
      <c r="I837">
        <v>3323.3493038512152</v>
      </c>
      <c r="J837">
        <v>396.65069614878479</v>
      </c>
    </row>
    <row r="838" spans="1:10" x14ac:dyDescent="0.35">
      <c r="A838" s="1">
        <v>45486</v>
      </c>
      <c r="B838" t="s">
        <v>13</v>
      </c>
      <c r="C838" t="s">
        <v>18</v>
      </c>
      <c r="D838" t="s">
        <v>35</v>
      </c>
      <c r="E838">
        <v>8</v>
      </c>
      <c r="F838">
        <v>1250</v>
      </c>
      <c r="G838" t="s">
        <v>39</v>
      </c>
      <c r="H838">
        <v>10000</v>
      </c>
      <c r="I838">
        <v>7535.807787436559</v>
      </c>
      <c r="J838">
        <v>2464.192212563441</v>
      </c>
    </row>
    <row r="839" spans="1:10" x14ac:dyDescent="0.35">
      <c r="A839" s="1">
        <v>45446</v>
      </c>
      <c r="B839" t="s">
        <v>10</v>
      </c>
      <c r="C839" t="s">
        <v>19</v>
      </c>
      <c r="D839" t="s">
        <v>37</v>
      </c>
      <c r="E839">
        <v>18</v>
      </c>
      <c r="F839">
        <v>292</v>
      </c>
      <c r="G839" t="s">
        <v>40</v>
      </c>
      <c r="H839">
        <v>5256</v>
      </c>
      <c r="I839">
        <v>4146.1617208158277</v>
      </c>
      <c r="J839">
        <v>1109.8382791841721</v>
      </c>
    </row>
    <row r="840" spans="1:10" x14ac:dyDescent="0.35">
      <c r="A840" s="1">
        <v>45384</v>
      </c>
      <c r="B840" t="s">
        <v>10</v>
      </c>
      <c r="C840" t="s">
        <v>20</v>
      </c>
      <c r="D840" t="s">
        <v>32</v>
      </c>
      <c r="E840">
        <v>16</v>
      </c>
      <c r="F840">
        <v>726</v>
      </c>
      <c r="G840" t="s">
        <v>38</v>
      </c>
      <c r="H840">
        <v>11616</v>
      </c>
      <c r="I840">
        <v>9307.1940354788458</v>
      </c>
      <c r="J840">
        <v>2308.8059645211538</v>
      </c>
    </row>
    <row r="841" spans="1:10" x14ac:dyDescent="0.35">
      <c r="A841" s="1">
        <v>45451</v>
      </c>
      <c r="B841" t="s">
        <v>50</v>
      </c>
      <c r="C841" t="s">
        <v>18</v>
      </c>
      <c r="D841" t="s">
        <v>31</v>
      </c>
      <c r="E841">
        <v>5</v>
      </c>
      <c r="F841">
        <v>1897</v>
      </c>
      <c r="G841" t="s">
        <v>39</v>
      </c>
      <c r="H841">
        <v>9485</v>
      </c>
      <c r="I841">
        <v>6722.2440637115888</v>
      </c>
      <c r="J841">
        <v>2762.7559362884108</v>
      </c>
    </row>
    <row r="842" spans="1:10" x14ac:dyDescent="0.35">
      <c r="A842" s="1">
        <v>45352</v>
      </c>
      <c r="B842" t="s">
        <v>13</v>
      </c>
      <c r="C842" t="s">
        <v>19</v>
      </c>
      <c r="D842" t="s">
        <v>35</v>
      </c>
      <c r="E842">
        <v>13</v>
      </c>
      <c r="F842">
        <v>629</v>
      </c>
      <c r="G842" t="s">
        <v>40</v>
      </c>
      <c r="H842">
        <v>8177</v>
      </c>
      <c r="I842">
        <v>6739.9617214538093</v>
      </c>
      <c r="J842">
        <v>1437.0382785461909</v>
      </c>
    </row>
    <row r="843" spans="1:10" x14ac:dyDescent="0.35">
      <c r="A843" s="1">
        <v>45413</v>
      </c>
      <c r="B843" t="s">
        <v>12</v>
      </c>
      <c r="C843" t="s">
        <v>23</v>
      </c>
      <c r="D843" t="s">
        <v>37</v>
      </c>
      <c r="E843">
        <v>19</v>
      </c>
      <c r="F843">
        <v>1133</v>
      </c>
      <c r="G843" t="s">
        <v>39</v>
      </c>
      <c r="H843">
        <v>21527</v>
      </c>
      <c r="I843">
        <v>18536.4678598834</v>
      </c>
      <c r="J843">
        <v>2990.532140116597</v>
      </c>
    </row>
    <row r="844" spans="1:10" x14ac:dyDescent="0.35">
      <c r="A844" s="1">
        <v>45342</v>
      </c>
      <c r="B844" t="s">
        <v>13</v>
      </c>
      <c r="C844" t="s">
        <v>18</v>
      </c>
      <c r="D844" t="s">
        <v>35</v>
      </c>
      <c r="E844">
        <v>3</v>
      </c>
      <c r="F844">
        <v>191</v>
      </c>
      <c r="G844" t="s">
        <v>39</v>
      </c>
      <c r="H844">
        <v>573</v>
      </c>
      <c r="I844">
        <v>410.3574412455423</v>
      </c>
      <c r="J844">
        <v>162.6425587544577</v>
      </c>
    </row>
    <row r="845" spans="1:10" x14ac:dyDescent="0.35">
      <c r="A845" s="1">
        <v>45568</v>
      </c>
      <c r="B845" t="s">
        <v>12</v>
      </c>
      <c r="C845" t="s">
        <v>18</v>
      </c>
      <c r="D845" t="s">
        <v>30</v>
      </c>
      <c r="E845">
        <v>8</v>
      </c>
      <c r="F845">
        <v>238</v>
      </c>
      <c r="G845" t="s">
        <v>39</v>
      </c>
      <c r="H845">
        <v>1904</v>
      </c>
      <c r="I845">
        <v>1517.6789064439399</v>
      </c>
      <c r="J845">
        <v>386.32109355605962</v>
      </c>
    </row>
    <row r="846" spans="1:10" x14ac:dyDescent="0.35">
      <c r="A846" s="1">
        <v>45296</v>
      </c>
      <c r="B846" t="s">
        <v>13</v>
      </c>
      <c r="C846" t="s">
        <v>24</v>
      </c>
      <c r="D846" t="s">
        <v>37</v>
      </c>
      <c r="E846">
        <v>12</v>
      </c>
      <c r="F846">
        <v>580</v>
      </c>
      <c r="G846" t="s">
        <v>40</v>
      </c>
      <c r="H846">
        <v>6960</v>
      </c>
      <c r="I846">
        <v>5756.8745444644128</v>
      </c>
      <c r="J846">
        <v>1203.125455535587</v>
      </c>
    </row>
    <row r="847" spans="1:10" x14ac:dyDescent="0.35">
      <c r="A847" s="1">
        <v>45383</v>
      </c>
      <c r="B847" t="s">
        <v>13</v>
      </c>
      <c r="C847" t="s">
        <v>21</v>
      </c>
      <c r="D847" t="s">
        <v>31</v>
      </c>
      <c r="E847">
        <v>2</v>
      </c>
      <c r="F847">
        <v>548</v>
      </c>
      <c r="G847" t="s">
        <v>40</v>
      </c>
      <c r="H847">
        <v>1096</v>
      </c>
      <c r="I847">
        <v>720.11339516016994</v>
      </c>
      <c r="J847">
        <v>375.88660483983011</v>
      </c>
    </row>
    <row r="848" spans="1:10" x14ac:dyDescent="0.35">
      <c r="A848" s="1">
        <v>45461</v>
      </c>
      <c r="B848" t="s">
        <v>10</v>
      </c>
      <c r="C848" t="s">
        <v>17</v>
      </c>
      <c r="D848" t="s">
        <v>37</v>
      </c>
      <c r="E848">
        <v>11</v>
      </c>
      <c r="F848">
        <v>1456</v>
      </c>
      <c r="G848" t="s">
        <v>38</v>
      </c>
      <c r="H848">
        <v>16016</v>
      </c>
      <c r="I848">
        <v>11207.65766630574</v>
      </c>
      <c r="J848">
        <v>4808.342333694256</v>
      </c>
    </row>
    <row r="849" spans="1:10" x14ac:dyDescent="0.35">
      <c r="A849" s="1">
        <v>45608</v>
      </c>
      <c r="B849" t="s">
        <v>11</v>
      </c>
      <c r="C849" t="s">
        <v>24</v>
      </c>
      <c r="D849" t="s">
        <v>33</v>
      </c>
      <c r="F849">
        <v>968</v>
      </c>
      <c r="G849" t="s">
        <v>40</v>
      </c>
    </row>
    <row r="850" spans="1:10" x14ac:dyDescent="0.35">
      <c r="A850" s="1">
        <v>45313</v>
      </c>
      <c r="B850" t="s">
        <v>11</v>
      </c>
      <c r="C850" t="s">
        <v>22</v>
      </c>
      <c r="D850" t="s">
        <v>37</v>
      </c>
      <c r="E850">
        <v>18</v>
      </c>
      <c r="F850">
        <v>439</v>
      </c>
      <c r="G850" t="s">
        <v>40</v>
      </c>
      <c r="H850">
        <v>7902</v>
      </c>
      <c r="I850">
        <v>6168.7953853467916</v>
      </c>
      <c r="J850">
        <v>1733.204614653208</v>
      </c>
    </row>
    <row r="851" spans="1:10" x14ac:dyDescent="0.35">
      <c r="A851" s="1">
        <v>45617</v>
      </c>
      <c r="B851" t="s">
        <v>12</v>
      </c>
      <c r="C851" t="s">
        <v>17</v>
      </c>
      <c r="D851" t="s">
        <v>37</v>
      </c>
      <c r="E851">
        <v>13</v>
      </c>
      <c r="F851">
        <v>1175</v>
      </c>
      <c r="G851" t="s">
        <v>38</v>
      </c>
      <c r="H851">
        <v>15275</v>
      </c>
      <c r="I851">
        <v>12835.296991099071</v>
      </c>
      <c r="J851">
        <v>2439.7030089009281</v>
      </c>
    </row>
    <row r="852" spans="1:10" x14ac:dyDescent="0.35">
      <c r="A852" s="1">
        <v>45292</v>
      </c>
      <c r="B852" t="s">
        <v>11</v>
      </c>
      <c r="C852" t="s">
        <v>24</v>
      </c>
      <c r="D852" t="s">
        <v>34</v>
      </c>
      <c r="E852">
        <v>5</v>
      </c>
      <c r="F852">
        <v>1830</v>
      </c>
      <c r="G852" t="s">
        <v>40</v>
      </c>
      <c r="H852">
        <v>9150</v>
      </c>
      <c r="I852">
        <v>7166.7521123256429</v>
      </c>
      <c r="J852">
        <v>1983.2478876743569</v>
      </c>
    </row>
    <row r="853" spans="1:10" x14ac:dyDescent="0.35">
      <c r="A853" s="1">
        <v>45424</v>
      </c>
      <c r="B853" t="s">
        <v>13</v>
      </c>
      <c r="C853" t="s">
        <v>20</v>
      </c>
      <c r="D853" t="s">
        <v>30</v>
      </c>
      <c r="E853">
        <v>12</v>
      </c>
      <c r="F853">
        <v>565</v>
      </c>
      <c r="G853" t="s">
        <v>38</v>
      </c>
      <c r="H853">
        <v>6780</v>
      </c>
      <c r="I853">
        <v>4433.680312207307</v>
      </c>
      <c r="J853">
        <v>2346.319687792693</v>
      </c>
    </row>
    <row r="854" spans="1:10" x14ac:dyDescent="0.35">
      <c r="A854" s="1">
        <v>45524</v>
      </c>
      <c r="B854" t="s">
        <v>13</v>
      </c>
      <c r="C854" t="s">
        <v>17</v>
      </c>
      <c r="D854" t="s">
        <v>31</v>
      </c>
      <c r="E854">
        <v>2</v>
      </c>
      <c r="F854">
        <v>817</v>
      </c>
      <c r="G854" t="s">
        <v>38</v>
      </c>
      <c r="H854">
        <v>1634</v>
      </c>
      <c r="I854">
        <v>1248.229834301012</v>
      </c>
      <c r="J854">
        <v>385.77016569898751</v>
      </c>
    </row>
    <row r="855" spans="1:10" x14ac:dyDescent="0.35">
      <c r="A855" s="1">
        <v>45303</v>
      </c>
      <c r="B855" t="s">
        <v>10</v>
      </c>
      <c r="C855" t="s">
        <v>17</v>
      </c>
      <c r="D855" t="s">
        <v>34</v>
      </c>
      <c r="E855">
        <v>5</v>
      </c>
      <c r="F855">
        <v>898</v>
      </c>
      <c r="G855" t="s">
        <v>38</v>
      </c>
      <c r="H855">
        <v>4490</v>
      </c>
      <c r="I855">
        <v>3818.6562980650742</v>
      </c>
      <c r="J855">
        <v>671.34370193492623</v>
      </c>
    </row>
    <row r="856" spans="1:10" x14ac:dyDescent="0.35">
      <c r="A856" s="1">
        <v>45637</v>
      </c>
      <c r="B856" t="s">
        <v>10</v>
      </c>
      <c r="C856" t="s">
        <v>19</v>
      </c>
      <c r="D856" t="s">
        <v>37</v>
      </c>
      <c r="E856">
        <v>7</v>
      </c>
      <c r="F856">
        <v>574</v>
      </c>
      <c r="G856" t="s">
        <v>40</v>
      </c>
      <c r="H856">
        <v>4018</v>
      </c>
      <c r="I856">
        <v>2775.7044691926849</v>
      </c>
      <c r="J856">
        <v>1242.2955308073149</v>
      </c>
    </row>
    <row r="857" spans="1:10" x14ac:dyDescent="0.35">
      <c r="A857" s="1">
        <v>45337</v>
      </c>
      <c r="B857" t="s">
        <v>11</v>
      </c>
      <c r="C857" t="s">
        <v>20</v>
      </c>
      <c r="D857" t="s">
        <v>31</v>
      </c>
      <c r="E857">
        <v>12</v>
      </c>
      <c r="F857">
        <v>500</v>
      </c>
      <c r="G857" t="s">
        <v>38</v>
      </c>
      <c r="H857">
        <v>6000</v>
      </c>
      <c r="I857">
        <v>5098.7727040547516</v>
      </c>
      <c r="J857">
        <v>901.22729594524753</v>
      </c>
    </row>
    <row r="858" spans="1:10" x14ac:dyDescent="0.35">
      <c r="A858" s="1">
        <v>45325</v>
      </c>
      <c r="B858" t="s">
        <v>12</v>
      </c>
      <c r="C858" t="s">
        <v>22</v>
      </c>
      <c r="D858" t="s">
        <v>33</v>
      </c>
      <c r="E858">
        <v>16</v>
      </c>
      <c r="F858">
        <v>1562</v>
      </c>
      <c r="G858" t="s">
        <v>40</v>
      </c>
      <c r="H858">
        <v>24992</v>
      </c>
      <c r="I858">
        <v>20877.991532393859</v>
      </c>
      <c r="J858">
        <v>4114.0084676061379</v>
      </c>
    </row>
    <row r="859" spans="1:10" x14ac:dyDescent="0.35">
      <c r="A859" s="1">
        <v>45369</v>
      </c>
      <c r="B859" t="s">
        <v>11</v>
      </c>
      <c r="C859" t="s">
        <v>21</v>
      </c>
      <c r="D859" t="s">
        <v>31</v>
      </c>
      <c r="E859">
        <v>8</v>
      </c>
      <c r="F859">
        <v>704</v>
      </c>
      <c r="G859" t="s">
        <v>40</v>
      </c>
      <c r="H859">
        <v>5632</v>
      </c>
      <c r="I859">
        <v>3415.9332689208459</v>
      </c>
      <c r="J859">
        <v>2216.0667310791541</v>
      </c>
    </row>
    <row r="860" spans="1:10" x14ac:dyDescent="0.35">
      <c r="A860" s="1">
        <v>45509</v>
      </c>
      <c r="B860" t="s">
        <v>11</v>
      </c>
      <c r="C860" t="s">
        <v>18</v>
      </c>
      <c r="D860" t="s">
        <v>35</v>
      </c>
      <c r="E860">
        <v>9</v>
      </c>
      <c r="F860">
        <v>1031</v>
      </c>
      <c r="G860" t="s">
        <v>39</v>
      </c>
      <c r="H860">
        <v>9279</v>
      </c>
      <c r="I860">
        <v>6233.9703659698116</v>
      </c>
      <c r="J860">
        <v>3045.0296340301879</v>
      </c>
    </row>
    <row r="861" spans="1:10" x14ac:dyDescent="0.35">
      <c r="A861" s="1">
        <v>45592</v>
      </c>
      <c r="B861" t="s">
        <v>11</v>
      </c>
      <c r="C861" t="s">
        <v>23</v>
      </c>
      <c r="D861" t="s">
        <v>34</v>
      </c>
      <c r="E861">
        <v>15</v>
      </c>
      <c r="F861">
        <v>1096</v>
      </c>
      <c r="G861" t="s">
        <v>39</v>
      </c>
      <c r="H861">
        <v>16440</v>
      </c>
      <c r="I861">
        <v>12541.79194539438</v>
      </c>
      <c r="J861">
        <v>3898.2080546056168</v>
      </c>
    </row>
    <row r="862" spans="1:10" x14ac:dyDescent="0.35">
      <c r="A862" s="1">
        <v>45364</v>
      </c>
      <c r="B862" t="s">
        <v>11</v>
      </c>
      <c r="C862" t="s">
        <v>24</v>
      </c>
      <c r="D862" t="s">
        <v>31</v>
      </c>
      <c r="E862">
        <v>5</v>
      </c>
      <c r="F862">
        <v>1021</v>
      </c>
      <c r="G862" t="s">
        <v>40</v>
      </c>
      <c r="H862">
        <v>5105</v>
      </c>
      <c r="I862">
        <v>4162.0310021844953</v>
      </c>
      <c r="J862">
        <v>942.96899781550474</v>
      </c>
    </row>
    <row r="863" spans="1:10" x14ac:dyDescent="0.35">
      <c r="A863" s="1">
        <v>45573</v>
      </c>
      <c r="B863" t="s">
        <v>13</v>
      </c>
      <c r="C863" t="s">
        <v>19</v>
      </c>
      <c r="D863" t="s">
        <v>30</v>
      </c>
      <c r="E863">
        <v>13</v>
      </c>
      <c r="F863">
        <v>920</v>
      </c>
      <c r="G863" t="s">
        <v>40</v>
      </c>
      <c r="H863">
        <v>11960</v>
      </c>
      <c r="I863">
        <v>10335.34352604235</v>
      </c>
      <c r="J863">
        <v>1624.65647395765</v>
      </c>
    </row>
    <row r="864" spans="1:10" x14ac:dyDescent="0.35">
      <c r="A864" s="1">
        <v>45540</v>
      </c>
      <c r="B864" t="s">
        <v>12</v>
      </c>
      <c r="C864" t="s">
        <v>24</v>
      </c>
      <c r="D864" t="s">
        <v>33</v>
      </c>
      <c r="E864">
        <v>5</v>
      </c>
      <c r="F864">
        <v>756</v>
      </c>
      <c r="G864" t="s">
        <v>40</v>
      </c>
      <c r="H864">
        <v>3780</v>
      </c>
      <c r="I864">
        <v>2994.9419889157921</v>
      </c>
      <c r="J864">
        <v>785.05801108420792</v>
      </c>
    </row>
    <row r="865" spans="1:10" x14ac:dyDescent="0.35">
      <c r="A865" s="1">
        <v>45338</v>
      </c>
      <c r="B865" t="s">
        <v>13</v>
      </c>
      <c r="C865" t="s">
        <v>22</v>
      </c>
      <c r="D865" t="s">
        <v>36</v>
      </c>
      <c r="E865">
        <v>11</v>
      </c>
      <c r="F865">
        <v>697</v>
      </c>
      <c r="G865" t="s">
        <v>40</v>
      </c>
      <c r="H865">
        <v>7667</v>
      </c>
      <c r="I865">
        <v>5475.0296282910649</v>
      </c>
      <c r="J865">
        <v>2191.9703717089351</v>
      </c>
    </row>
    <row r="866" spans="1:10" x14ac:dyDescent="0.35">
      <c r="A866" s="1">
        <v>45412</v>
      </c>
      <c r="B866" t="s">
        <v>12</v>
      </c>
      <c r="C866" t="s">
        <v>18</v>
      </c>
      <c r="D866" t="s">
        <v>37</v>
      </c>
      <c r="E866">
        <v>10</v>
      </c>
      <c r="F866">
        <v>1632</v>
      </c>
      <c r="G866" t="s">
        <v>39</v>
      </c>
      <c r="H866">
        <v>16320</v>
      </c>
      <c r="I866">
        <v>10695.934804185899</v>
      </c>
      <c r="J866">
        <v>5624.0651958141043</v>
      </c>
    </row>
    <row r="867" spans="1:10" x14ac:dyDescent="0.35">
      <c r="A867" s="1">
        <v>45505</v>
      </c>
      <c r="B867" t="s">
        <v>10</v>
      </c>
      <c r="C867" t="s">
        <v>22</v>
      </c>
      <c r="D867" t="s">
        <v>31</v>
      </c>
      <c r="E867">
        <v>13</v>
      </c>
      <c r="F867">
        <v>1276</v>
      </c>
      <c r="G867" t="s">
        <v>40</v>
      </c>
      <c r="H867">
        <v>16588</v>
      </c>
      <c r="I867">
        <v>13735.04243112324</v>
      </c>
      <c r="J867">
        <v>2852.9575688767559</v>
      </c>
    </row>
    <row r="868" spans="1:10" x14ac:dyDescent="0.35">
      <c r="A868" s="1">
        <v>45530</v>
      </c>
      <c r="B868" t="s">
        <v>11</v>
      </c>
      <c r="C868" t="s">
        <v>17</v>
      </c>
      <c r="D868" t="s">
        <v>37</v>
      </c>
      <c r="E868">
        <v>9</v>
      </c>
      <c r="F868">
        <v>613</v>
      </c>
      <c r="G868" t="s">
        <v>38</v>
      </c>
      <c r="H868">
        <v>5517</v>
      </c>
      <c r="I868">
        <v>3652.444158837352</v>
      </c>
      <c r="J868">
        <v>1864.555841162648</v>
      </c>
    </row>
    <row r="869" spans="1:10" x14ac:dyDescent="0.35">
      <c r="A869" s="1">
        <v>45347</v>
      </c>
      <c r="B869" t="s">
        <v>13</v>
      </c>
      <c r="C869" t="s">
        <v>23</v>
      </c>
      <c r="D869" t="s">
        <v>32</v>
      </c>
      <c r="E869">
        <v>14</v>
      </c>
      <c r="F869">
        <v>1626</v>
      </c>
      <c r="G869" t="s">
        <v>39</v>
      </c>
      <c r="H869">
        <v>22764</v>
      </c>
      <c r="I869">
        <v>18407.634117210971</v>
      </c>
      <c r="J869">
        <v>4356.3658827890285</v>
      </c>
    </row>
    <row r="870" spans="1:10" x14ac:dyDescent="0.35">
      <c r="A870" s="1">
        <v>45641</v>
      </c>
      <c r="B870" t="s">
        <v>12</v>
      </c>
      <c r="C870" t="s">
        <v>22</v>
      </c>
      <c r="D870" t="s">
        <v>35</v>
      </c>
      <c r="E870">
        <v>18</v>
      </c>
      <c r="F870">
        <v>1977</v>
      </c>
      <c r="G870" t="s">
        <v>40</v>
      </c>
      <c r="H870">
        <v>35586</v>
      </c>
      <c r="I870">
        <v>23286.178984731541</v>
      </c>
      <c r="J870">
        <v>12299.821015268461</v>
      </c>
    </row>
    <row r="871" spans="1:10" x14ac:dyDescent="0.35">
      <c r="A871" s="1">
        <v>45398</v>
      </c>
      <c r="B871" t="s">
        <v>10</v>
      </c>
      <c r="C871" t="s">
        <v>24</v>
      </c>
      <c r="D871" t="s">
        <v>34</v>
      </c>
      <c r="E871">
        <v>15</v>
      </c>
      <c r="F871">
        <v>1895</v>
      </c>
      <c r="G871" t="s">
        <v>40</v>
      </c>
      <c r="H871">
        <v>28425</v>
      </c>
      <c r="I871">
        <v>17831.461708513962</v>
      </c>
      <c r="J871">
        <v>10593.53829148604</v>
      </c>
    </row>
    <row r="872" spans="1:10" x14ac:dyDescent="0.35">
      <c r="A872" s="1">
        <v>45610</v>
      </c>
      <c r="B872" t="s">
        <v>10</v>
      </c>
      <c r="C872" t="s">
        <v>20</v>
      </c>
      <c r="D872" t="s">
        <v>35</v>
      </c>
      <c r="E872">
        <v>10</v>
      </c>
      <c r="F872">
        <v>1799</v>
      </c>
      <c r="G872" t="s">
        <v>38</v>
      </c>
      <c r="H872">
        <v>17990</v>
      </c>
      <c r="I872">
        <v>12149.187907344171</v>
      </c>
      <c r="J872">
        <v>5840.8120926558349</v>
      </c>
    </row>
    <row r="873" spans="1:10" x14ac:dyDescent="0.35">
      <c r="A873" s="1">
        <v>45339</v>
      </c>
      <c r="B873" t="s">
        <v>11</v>
      </c>
      <c r="C873" t="s">
        <v>20</v>
      </c>
      <c r="D873" t="s">
        <v>32</v>
      </c>
      <c r="E873">
        <v>7</v>
      </c>
      <c r="F873">
        <v>1129</v>
      </c>
      <c r="G873" t="s">
        <v>38</v>
      </c>
      <c r="H873">
        <v>7903</v>
      </c>
      <c r="I873">
        <v>5417.3400759194938</v>
      </c>
      <c r="J873">
        <v>2485.6599240805058</v>
      </c>
    </row>
    <row r="874" spans="1:10" x14ac:dyDescent="0.35">
      <c r="A874" s="1">
        <v>45352</v>
      </c>
      <c r="B874" t="s">
        <v>12</v>
      </c>
      <c r="C874" t="s">
        <v>17</v>
      </c>
      <c r="D874" t="s">
        <v>32</v>
      </c>
      <c r="E874">
        <v>8</v>
      </c>
      <c r="F874">
        <v>599</v>
      </c>
      <c r="G874" t="s">
        <v>38</v>
      </c>
      <c r="H874">
        <v>4792</v>
      </c>
      <c r="I874">
        <v>3805.6278517498831</v>
      </c>
      <c r="J874">
        <v>986.37214825011733</v>
      </c>
    </row>
    <row r="875" spans="1:10" x14ac:dyDescent="0.35">
      <c r="A875" s="1">
        <v>45628</v>
      </c>
      <c r="B875" t="s">
        <v>13</v>
      </c>
      <c r="D875" t="s">
        <v>34</v>
      </c>
      <c r="E875">
        <v>3</v>
      </c>
      <c r="F875">
        <v>1784</v>
      </c>
      <c r="G875" t="s">
        <v>40</v>
      </c>
      <c r="H875">
        <v>5352</v>
      </c>
      <c r="I875">
        <v>3469.5143352466489</v>
      </c>
      <c r="J875">
        <v>1882.4856647533511</v>
      </c>
    </row>
    <row r="876" spans="1:10" x14ac:dyDescent="0.35">
      <c r="A876" s="1">
        <v>45317</v>
      </c>
      <c r="B876" t="s">
        <v>11</v>
      </c>
      <c r="C876" t="s">
        <v>24</v>
      </c>
      <c r="D876" t="s">
        <v>31</v>
      </c>
      <c r="E876">
        <v>15</v>
      </c>
      <c r="F876">
        <v>816</v>
      </c>
      <c r="G876" t="s">
        <v>40</v>
      </c>
      <c r="H876">
        <v>12240</v>
      </c>
      <c r="I876">
        <v>10760.086984487851</v>
      </c>
      <c r="J876">
        <v>1479.9130155121461</v>
      </c>
    </row>
    <row r="877" spans="1:10" x14ac:dyDescent="0.35">
      <c r="A877" s="1">
        <v>45583</v>
      </c>
      <c r="B877" t="s">
        <v>13</v>
      </c>
      <c r="C877" t="s">
        <v>24</v>
      </c>
      <c r="D877" t="s">
        <v>32</v>
      </c>
      <c r="E877">
        <v>16</v>
      </c>
      <c r="F877">
        <v>1241</v>
      </c>
      <c r="G877" t="s">
        <v>40</v>
      </c>
      <c r="H877">
        <v>19856</v>
      </c>
      <c r="I877">
        <v>15215.821693203659</v>
      </c>
      <c r="J877">
        <v>4640.1783067963443</v>
      </c>
    </row>
    <row r="878" spans="1:10" x14ac:dyDescent="0.35">
      <c r="A878" s="1">
        <v>45548</v>
      </c>
      <c r="B878" t="s">
        <v>10</v>
      </c>
      <c r="C878" t="s">
        <v>22</v>
      </c>
      <c r="D878" t="s">
        <v>36</v>
      </c>
      <c r="E878">
        <v>4</v>
      </c>
      <c r="F878">
        <v>1608</v>
      </c>
      <c r="G878" t="s">
        <v>40</v>
      </c>
      <c r="H878">
        <v>6432</v>
      </c>
      <c r="I878">
        <v>4806.5018677834514</v>
      </c>
      <c r="J878">
        <v>1625.498132216549</v>
      </c>
    </row>
    <row r="879" spans="1:10" x14ac:dyDescent="0.35">
      <c r="A879" s="1">
        <v>45299</v>
      </c>
      <c r="B879" t="s">
        <v>13</v>
      </c>
      <c r="C879" t="s">
        <v>23</v>
      </c>
      <c r="D879" t="s">
        <v>37</v>
      </c>
      <c r="E879">
        <v>6</v>
      </c>
      <c r="F879">
        <v>700</v>
      </c>
      <c r="G879" t="s">
        <v>39</v>
      </c>
      <c r="H879">
        <v>4200</v>
      </c>
      <c r="I879">
        <v>3067.7150880285431</v>
      </c>
      <c r="J879">
        <v>1132.2849119714569</v>
      </c>
    </row>
    <row r="880" spans="1:10" x14ac:dyDescent="0.35">
      <c r="A880" s="1">
        <v>45404</v>
      </c>
      <c r="B880" t="s">
        <v>13</v>
      </c>
      <c r="C880" t="s">
        <v>24</v>
      </c>
      <c r="D880" t="s">
        <v>37</v>
      </c>
      <c r="E880">
        <v>1</v>
      </c>
      <c r="F880">
        <v>765</v>
      </c>
      <c r="G880" t="s">
        <v>40</v>
      </c>
      <c r="H880">
        <v>765</v>
      </c>
      <c r="I880">
        <v>589.03500912506888</v>
      </c>
      <c r="J880">
        <v>175.96499087493109</v>
      </c>
    </row>
    <row r="881" spans="1:10" x14ac:dyDescent="0.35">
      <c r="A881" s="1">
        <v>45646</v>
      </c>
      <c r="B881" t="s">
        <v>11</v>
      </c>
      <c r="C881" t="s">
        <v>19</v>
      </c>
      <c r="D881" t="s">
        <v>33</v>
      </c>
      <c r="E881">
        <v>4</v>
      </c>
      <c r="F881">
        <v>1802</v>
      </c>
      <c r="G881" t="s">
        <v>40</v>
      </c>
      <c r="H881">
        <v>7208</v>
      </c>
      <c r="I881">
        <v>4373.3393217906378</v>
      </c>
      <c r="J881">
        <v>2834.6606782093618</v>
      </c>
    </row>
    <row r="882" spans="1:10" x14ac:dyDescent="0.35">
      <c r="A882" s="1">
        <v>45544</v>
      </c>
      <c r="B882" t="s">
        <v>13</v>
      </c>
      <c r="C882" t="s">
        <v>21</v>
      </c>
      <c r="D882" t="s">
        <v>30</v>
      </c>
      <c r="E882">
        <v>11</v>
      </c>
      <c r="F882">
        <v>567</v>
      </c>
      <c r="G882" t="s">
        <v>40</v>
      </c>
      <c r="H882">
        <v>6237</v>
      </c>
      <c r="I882">
        <v>5594.7506154749217</v>
      </c>
      <c r="J882">
        <v>642.24938452507831</v>
      </c>
    </row>
    <row r="883" spans="1:10" x14ac:dyDescent="0.35">
      <c r="A883" s="1">
        <v>45471</v>
      </c>
      <c r="B883" t="s">
        <v>11</v>
      </c>
      <c r="C883" t="s">
        <v>22</v>
      </c>
      <c r="D883" t="s">
        <v>32</v>
      </c>
      <c r="E883">
        <v>12</v>
      </c>
      <c r="F883">
        <v>260</v>
      </c>
      <c r="G883" t="s">
        <v>40</v>
      </c>
      <c r="H883">
        <v>3120</v>
      </c>
      <c r="I883">
        <v>2393.8428161178331</v>
      </c>
      <c r="J883">
        <v>726.15718388216692</v>
      </c>
    </row>
    <row r="884" spans="1:10" x14ac:dyDescent="0.35">
      <c r="A884" s="1">
        <v>45498</v>
      </c>
      <c r="B884" t="s">
        <v>10</v>
      </c>
      <c r="C884" t="s">
        <v>19</v>
      </c>
      <c r="D884" t="s">
        <v>32</v>
      </c>
      <c r="E884">
        <v>5</v>
      </c>
      <c r="F884">
        <v>369</v>
      </c>
      <c r="G884" t="s">
        <v>40</v>
      </c>
      <c r="H884">
        <v>1845</v>
      </c>
      <c r="I884">
        <v>1126.480433684588</v>
      </c>
      <c r="J884">
        <v>718.51956631541157</v>
      </c>
    </row>
    <row r="885" spans="1:10" x14ac:dyDescent="0.35">
      <c r="A885" s="1">
        <v>45594</v>
      </c>
      <c r="B885" t="s">
        <v>11</v>
      </c>
      <c r="C885" t="s">
        <v>17</v>
      </c>
      <c r="D885" t="s">
        <v>36</v>
      </c>
      <c r="E885">
        <v>16</v>
      </c>
      <c r="F885">
        <v>1179</v>
      </c>
      <c r="G885" t="s">
        <v>38</v>
      </c>
      <c r="H885">
        <v>18864</v>
      </c>
      <c r="I885">
        <v>14657.201260515971</v>
      </c>
      <c r="J885">
        <v>4206.7987394840256</v>
      </c>
    </row>
    <row r="886" spans="1:10" x14ac:dyDescent="0.35">
      <c r="A886" s="1">
        <v>45418</v>
      </c>
      <c r="B886" t="s">
        <v>11</v>
      </c>
      <c r="C886" t="s">
        <v>20</v>
      </c>
      <c r="D886" t="s">
        <v>35</v>
      </c>
      <c r="E886">
        <v>13</v>
      </c>
      <c r="F886">
        <v>327</v>
      </c>
      <c r="G886" t="s">
        <v>38</v>
      </c>
      <c r="H886">
        <v>4251</v>
      </c>
      <c r="I886">
        <v>3108.0065404468269</v>
      </c>
      <c r="J886">
        <v>1142.9934595531729</v>
      </c>
    </row>
    <row r="887" spans="1:10" x14ac:dyDescent="0.35">
      <c r="A887" s="1">
        <v>45347</v>
      </c>
      <c r="B887" t="s">
        <v>12</v>
      </c>
      <c r="C887" t="s">
        <v>17</v>
      </c>
      <c r="D887" t="s">
        <v>35</v>
      </c>
      <c r="E887">
        <v>13</v>
      </c>
      <c r="F887">
        <v>948</v>
      </c>
      <c r="G887" t="s">
        <v>38</v>
      </c>
      <c r="H887">
        <v>12324</v>
      </c>
      <c r="I887">
        <v>7483.2721721150456</v>
      </c>
      <c r="J887">
        <v>4840.7278278849544</v>
      </c>
    </row>
    <row r="888" spans="1:10" x14ac:dyDescent="0.35">
      <c r="A888" s="1">
        <v>45505</v>
      </c>
      <c r="B888" t="s">
        <v>13</v>
      </c>
      <c r="C888" t="s">
        <v>20</v>
      </c>
      <c r="D888" t="s">
        <v>37</v>
      </c>
      <c r="E888">
        <v>17</v>
      </c>
      <c r="F888">
        <v>248</v>
      </c>
      <c r="G888" t="s">
        <v>38</v>
      </c>
      <c r="H888">
        <v>4216</v>
      </c>
      <c r="I888">
        <v>3698.8174857287722</v>
      </c>
      <c r="J888">
        <v>517.18251427122823</v>
      </c>
    </row>
    <row r="889" spans="1:10" x14ac:dyDescent="0.35">
      <c r="A889" s="1">
        <v>45305</v>
      </c>
      <c r="B889" t="s">
        <v>10</v>
      </c>
      <c r="C889" t="s">
        <v>17</v>
      </c>
      <c r="D889" t="s">
        <v>37</v>
      </c>
      <c r="E889">
        <v>7</v>
      </c>
      <c r="F889">
        <v>1169</v>
      </c>
      <c r="G889" t="s">
        <v>38</v>
      </c>
      <c r="H889">
        <v>8183</v>
      </c>
      <c r="I889">
        <v>4935.7406142540049</v>
      </c>
      <c r="J889">
        <v>3247.2593857459951</v>
      </c>
    </row>
    <row r="890" spans="1:10" x14ac:dyDescent="0.35">
      <c r="A890" s="1">
        <v>45319</v>
      </c>
      <c r="B890" t="s">
        <v>11</v>
      </c>
      <c r="C890" t="s">
        <v>24</v>
      </c>
      <c r="D890" t="s">
        <v>31</v>
      </c>
      <c r="E890">
        <v>8</v>
      </c>
      <c r="F890">
        <v>1267</v>
      </c>
      <c r="G890" t="s">
        <v>40</v>
      </c>
      <c r="H890">
        <v>10136</v>
      </c>
      <c r="I890">
        <v>7838.7921950500786</v>
      </c>
      <c r="J890">
        <v>2297.207804949921</v>
      </c>
    </row>
    <row r="891" spans="1:10" x14ac:dyDescent="0.35">
      <c r="A891" s="1">
        <v>45369</v>
      </c>
      <c r="B891" t="s">
        <v>10</v>
      </c>
      <c r="C891" t="s">
        <v>19</v>
      </c>
      <c r="D891" t="s">
        <v>34</v>
      </c>
      <c r="E891">
        <v>13</v>
      </c>
      <c r="F891">
        <v>1873</v>
      </c>
      <c r="G891" t="s">
        <v>40</v>
      </c>
      <c r="H891">
        <v>24349</v>
      </c>
      <c r="I891">
        <v>21634.992874185278</v>
      </c>
      <c r="J891">
        <v>2714.0071258147218</v>
      </c>
    </row>
    <row r="892" spans="1:10" x14ac:dyDescent="0.35">
      <c r="A892" s="1">
        <v>45507</v>
      </c>
      <c r="B892" t="s">
        <v>12</v>
      </c>
      <c r="C892" t="s">
        <v>20</v>
      </c>
      <c r="D892" t="s">
        <v>30</v>
      </c>
      <c r="E892">
        <v>16</v>
      </c>
      <c r="F892">
        <v>1907</v>
      </c>
      <c r="G892" t="s">
        <v>38</v>
      </c>
      <c r="H892">
        <v>30512</v>
      </c>
      <c r="I892">
        <v>20482.136523583831</v>
      </c>
      <c r="J892">
        <v>10029.863476416171</v>
      </c>
    </row>
    <row r="893" spans="1:10" x14ac:dyDescent="0.35">
      <c r="A893" s="1">
        <v>45656</v>
      </c>
      <c r="B893" t="s">
        <v>13</v>
      </c>
      <c r="C893" t="s">
        <v>22</v>
      </c>
      <c r="D893" t="s">
        <v>36</v>
      </c>
      <c r="E893">
        <v>4</v>
      </c>
      <c r="F893">
        <v>731</v>
      </c>
      <c r="G893" t="s">
        <v>40</v>
      </c>
      <c r="H893">
        <v>2924</v>
      </c>
      <c r="I893">
        <v>1977.3658839264831</v>
      </c>
      <c r="J893">
        <v>946.63411607351691</v>
      </c>
    </row>
    <row r="894" spans="1:10" x14ac:dyDescent="0.35">
      <c r="A894" s="1">
        <v>45445</v>
      </c>
      <c r="B894" t="s">
        <v>11</v>
      </c>
      <c r="C894" t="s">
        <v>19</v>
      </c>
      <c r="D894" t="s">
        <v>34</v>
      </c>
      <c r="E894">
        <v>8</v>
      </c>
      <c r="F894">
        <v>1463</v>
      </c>
      <c r="G894" t="s">
        <v>40</v>
      </c>
      <c r="H894">
        <v>11704</v>
      </c>
      <c r="I894">
        <v>7023.8856890004063</v>
      </c>
      <c r="J894">
        <v>4680.1143109995937</v>
      </c>
    </row>
    <row r="895" spans="1:10" x14ac:dyDescent="0.35">
      <c r="A895" s="1">
        <v>45305</v>
      </c>
      <c r="B895" t="s">
        <v>13</v>
      </c>
      <c r="C895" t="s">
        <v>22</v>
      </c>
      <c r="D895" t="s">
        <v>34</v>
      </c>
      <c r="E895">
        <v>16</v>
      </c>
      <c r="F895">
        <v>512</v>
      </c>
      <c r="G895" t="s">
        <v>40</v>
      </c>
      <c r="H895">
        <v>8192</v>
      </c>
      <c r="I895">
        <v>5078.2646402776618</v>
      </c>
      <c r="J895">
        <v>3113.7353597223382</v>
      </c>
    </row>
    <row r="896" spans="1:10" x14ac:dyDescent="0.35">
      <c r="A896" s="1">
        <v>45478</v>
      </c>
      <c r="B896" t="s">
        <v>12</v>
      </c>
      <c r="C896" t="s">
        <v>19</v>
      </c>
      <c r="D896" t="s">
        <v>33</v>
      </c>
      <c r="E896">
        <v>10</v>
      </c>
      <c r="F896">
        <v>1855</v>
      </c>
      <c r="G896" t="s">
        <v>40</v>
      </c>
      <c r="H896">
        <v>18550</v>
      </c>
      <c r="I896">
        <v>11379.8040104265</v>
      </c>
      <c r="J896">
        <v>7170.1959895735044</v>
      </c>
    </row>
    <row r="897" spans="1:10" x14ac:dyDescent="0.35">
      <c r="A897" s="1">
        <v>45603</v>
      </c>
      <c r="B897" t="s">
        <v>12</v>
      </c>
      <c r="C897" t="s">
        <v>19</v>
      </c>
      <c r="D897" t="s">
        <v>34</v>
      </c>
      <c r="E897">
        <v>12</v>
      </c>
      <c r="F897">
        <v>619</v>
      </c>
      <c r="G897" t="s">
        <v>40</v>
      </c>
      <c r="H897">
        <v>7428</v>
      </c>
      <c r="I897">
        <v>6290.0072625712874</v>
      </c>
      <c r="J897">
        <v>1137.9927374287131</v>
      </c>
    </row>
    <row r="898" spans="1:10" x14ac:dyDescent="0.35">
      <c r="A898" s="1">
        <v>45298</v>
      </c>
      <c r="B898" t="s">
        <v>10</v>
      </c>
      <c r="C898" t="s">
        <v>17</v>
      </c>
      <c r="D898" t="s">
        <v>33</v>
      </c>
      <c r="E898">
        <v>12</v>
      </c>
      <c r="F898">
        <v>1467</v>
      </c>
      <c r="G898" t="s">
        <v>38</v>
      </c>
      <c r="H898">
        <v>17604</v>
      </c>
      <c r="I898">
        <v>14981.378454393111</v>
      </c>
      <c r="J898">
        <v>2622.6215456068949</v>
      </c>
    </row>
    <row r="899" spans="1:10" x14ac:dyDescent="0.35">
      <c r="A899" s="1">
        <v>45294</v>
      </c>
      <c r="B899" t="s">
        <v>11</v>
      </c>
      <c r="C899" t="s">
        <v>20</v>
      </c>
      <c r="D899" t="s">
        <v>34</v>
      </c>
      <c r="E899">
        <v>5</v>
      </c>
      <c r="F899">
        <v>486</v>
      </c>
      <c r="G899" t="s">
        <v>38</v>
      </c>
      <c r="H899">
        <v>2430</v>
      </c>
      <c r="I899">
        <v>1987.764361370517</v>
      </c>
      <c r="J899">
        <v>442.23563862948299</v>
      </c>
    </row>
    <row r="900" spans="1:10" x14ac:dyDescent="0.35">
      <c r="A900" s="1">
        <v>45402</v>
      </c>
      <c r="B900" t="s">
        <v>10</v>
      </c>
      <c r="C900" t="s">
        <v>20</v>
      </c>
      <c r="D900" t="s">
        <v>36</v>
      </c>
      <c r="E900">
        <v>16</v>
      </c>
      <c r="F900">
        <v>1596</v>
      </c>
      <c r="G900" t="s">
        <v>38</v>
      </c>
      <c r="H900">
        <v>25536</v>
      </c>
      <c r="I900">
        <v>18023.908991890941</v>
      </c>
      <c r="J900">
        <v>7512.0910081090624</v>
      </c>
    </row>
    <row r="901" spans="1:10" x14ac:dyDescent="0.35">
      <c r="A901" s="1">
        <v>45529</v>
      </c>
      <c r="B901" t="s">
        <v>12</v>
      </c>
      <c r="C901" t="s">
        <v>23</v>
      </c>
      <c r="D901" t="s">
        <v>33</v>
      </c>
      <c r="E901">
        <v>1</v>
      </c>
      <c r="F901">
        <v>374</v>
      </c>
      <c r="G901" t="s">
        <v>39</v>
      </c>
      <c r="H901">
        <v>374</v>
      </c>
      <c r="I901">
        <v>316.54474927752813</v>
      </c>
      <c r="J901">
        <v>57.455250722471931</v>
      </c>
    </row>
    <row r="902" spans="1:10" x14ac:dyDescent="0.35">
      <c r="A902" s="1">
        <v>45654</v>
      </c>
      <c r="B902" t="s">
        <v>13</v>
      </c>
      <c r="C902" t="s">
        <v>19</v>
      </c>
      <c r="D902" t="s">
        <v>35</v>
      </c>
      <c r="E902">
        <v>9</v>
      </c>
      <c r="F902">
        <v>452</v>
      </c>
      <c r="G902" t="s">
        <v>40</v>
      </c>
      <c r="H902">
        <v>4068</v>
      </c>
      <c r="I902">
        <v>3099.5408245044132</v>
      </c>
      <c r="J902">
        <v>968.45917549558681</v>
      </c>
    </row>
    <row r="903" spans="1:10" x14ac:dyDescent="0.35">
      <c r="A903" s="1">
        <v>45530</v>
      </c>
      <c r="B903" t="s">
        <v>10</v>
      </c>
      <c r="C903" t="s">
        <v>24</v>
      </c>
      <c r="D903" t="s">
        <v>33</v>
      </c>
      <c r="E903">
        <v>12</v>
      </c>
      <c r="F903">
        <v>1189</v>
      </c>
      <c r="G903" t="s">
        <v>40</v>
      </c>
      <c r="H903">
        <v>14268</v>
      </c>
      <c r="I903">
        <v>9863.3697074446627</v>
      </c>
      <c r="J903">
        <v>4404.6302925553373</v>
      </c>
    </row>
    <row r="904" spans="1:10" x14ac:dyDescent="0.35">
      <c r="A904" s="1">
        <v>45565</v>
      </c>
      <c r="B904" t="s">
        <v>10</v>
      </c>
      <c r="C904" t="s">
        <v>24</v>
      </c>
      <c r="D904" t="s">
        <v>33</v>
      </c>
      <c r="F904">
        <v>1202</v>
      </c>
      <c r="G904" t="s">
        <v>40</v>
      </c>
    </row>
    <row r="905" spans="1:10" x14ac:dyDescent="0.35">
      <c r="A905" s="1">
        <v>45585</v>
      </c>
      <c r="B905" t="s">
        <v>13</v>
      </c>
      <c r="C905" t="s">
        <v>22</v>
      </c>
      <c r="D905" t="s">
        <v>36</v>
      </c>
      <c r="E905">
        <v>3</v>
      </c>
      <c r="F905">
        <v>697</v>
      </c>
      <c r="G905" t="s">
        <v>40</v>
      </c>
      <c r="H905">
        <v>2091</v>
      </c>
      <c r="I905">
        <v>1295.8561220172289</v>
      </c>
      <c r="J905">
        <v>795.14387798277085</v>
      </c>
    </row>
    <row r="906" spans="1:10" x14ac:dyDescent="0.35">
      <c r="A906" s="1">
        <v>45518</v>
      </c>
      <c r="B906" t="s">
        <v>10</v>
      </c>
      <c r="C906" t="s">
        <v>22</v>
      </c>
      <c r="D906" t="s">
        <v>36</v>
      </c>
      <c r="E906">
        <v>5</v>
      </c>
      <c r="F906">
        <v>1759</v>
      </c>
      <c r="G906" t="s">
        <v>40</v>
      </c>
      <c r="H906">
        <v>8795</v>
      </c>
      <c r="I906">
        <v>7770.1415699896479</v>
      </c>
      <c r="J906">
        <v>1024.8584300103521</v>
      </c>
    </row>
    <row r="907" spans="1:10" x14ac:dyDescent="0.35">
      <c r="A907" s="1">
        <v>45306</v>
      </c>
      <c r="B907" t="s">
        <v>13</v>
      </c>
      <c r="C907" t="s">
        <v>17</v>
      </c>
      <c r="D907" t="s">
        <v>33</v>
      </c>
      <c r="E907">
        <v>2</v>
      </c>
      <c r="F907">
        <v>1325</v>
      </c>
      <c r="G907" t="s">
        <v>38</v>
      </c>
      <c r="H907">
        <v>2650</v>
      </c>
      <c r="I907">
        <v>2082.197551794713</v>
      </c>
      <c r="J907">
        <v>567.80244820528742</v>
      </c>
    </row>
    <row r="908" spans="1:10" x14ac:dyDescent="0.35">
      <c r="A908" s="1">
        <v>45483</v>
      </c>
      <c r="B908" t="s">
        <v>11</v>
      </c>
      <c r="C908" t="s">
        <v>19</v>
      </c>
      <c r="D908" t="s">
        <v>30</v>
      </c>
      <c r="E908">
        <v>14</v>
      </c>
      <c r="F908">
        <v>1785</v>
      </c>
      <c r="G908" t="s">
        <v>40</v>
      </c>
      <c r="H908">
        <v>24990</v>
      </c>
      <c r="I908">
        <v>20476.062384544501</v>
      </c>
      <c r="J908">
        <v>4513.9376154554957</v>
      </c>
    </row>
    <row r="909" spans="1:10" x14ac:dyDescent="0.35">
      <c r="A909" s="1">
        <v>45410</v>
      </c>
      <c r="B909" t="s">
        <v>13</v>
      </c>
      <c r="C909" t="s">
        <v>22</v>
      </c>
      <c r="D909" t="s">
        <v>32</v>
      </c>
      <c r="E909">
        <v>2</v>
      </c>
      <c r="F909">
        <v>657</v>
      </c>
      <c r="G909" t="s">
        <v>40</v>
      </c>
      <c r="H909">
        <v>1314</v>
      </c>
      <c r="I909">
        <v>1055.109164619515</v>
      </c>
      <c r="J909">
        <v>258.89083538048448</v>
      </c>
    </row>
    <row r="910" spans="1:10" x14ac:dyDescent="0.35">
      <c r="A910" s="1">
        <v>45319</v>
      </c>
      <c r="B910" t="s">
        <v>11</v>
      </c>
      <c r="C910" t="s">
        <v>22</v>
      </c>
      <c r="D910" t="s">
        <v>30</v>
      </c>
      <c r="E910">
        <v>13</v>
      </c>
      <c r="F910">
        <v>212</v>
      </c>
      <c r="G910" t="s">
        <v>40</v>
      </c>
      <c r="H910">
        <v>2756</v>
      </c>
      <c r="I910">
        <v>2205.6956872019468</v>
      </c>
      <c r="J910">
        <v>550.30431279805316</v>
      </c>
    </row>
    <row r="911" spans="1:10" x14ac:dyDescent="0.35">
      <c r="A911" s="1">
        <v>45493</v>
      </c>
      <c r="B911" t="s">
        <v>13</v>
      </c>
      <c r="C911" t="s">
        <v>21</v>
      </c>
      <c r="D911" t="s">
        <v>36</v>
      </c>
      <c r="E911">
        <v>7</v>
      </c>
      <c r="F911">
        <v>1214</v>
      </c>
      <c r="G911" t="s">
        <v>40</v>
      </c>
      <c r="H911">
        <v>8498</v>
      </c>
      <c r="I911">
        <v>5142.8051564266643</v>
      </c>
      <c r="J911">
        <v>3355.1948435733361</v>
      </c>
    </row>
    <row r="912" spans="1:10" x14ac:dyDescent="0.35">
      <c r="A912" s="1">
        <v>45330</v>
      </c>
      <c r="B912" t="s">
        <v>12</v>
      </c>
      <c r="C912" t="s">
        <v>19</v>
      </c>
      <c r="D912" t="s">
        <v>30</v>
      </c>
      <c r="E912">
        <v>10</v>
      </c>
      <c r="F912">
        <v>240</v>
      </c>
      <c r="G912" t="s">
        <v>40</v>
      </c>
      <c r="H912">
        <v>2400</v>
      </c>
      <c r="I912">
        <v>1818.2673214450899</v>
      </c>
      <c r="J912">
        <v>581.73267855491031</v>
      </c>
    </row>
    <row r="913" spans="1:10" x14ac:dyDescent="0.35">
      <c r="A913" s="1">
        <v>45564</v>
      </c>
      <c r="B913" t="s">
        <v>12</v>
      </c>
      <c r="C913" t="s">
        <v>18</v>
      </c>
      <c r="D913" t="s">
        <v>30</v>
      </c>
      <c r="E913">
        <v>13</v>
      </c>
      <c r="F913">
        <v>1412</v>
      </c>
      <c r="G913" t="s">
        <v>39</v>
      </c>
      <c r="H913">
        <v>18356</v>
      </c>
      <c r="I913">
        <v>15538.59388699509</v>
      </c>
      <c r="J913">
        <v>2817.406113004909</v>
      </c>
    </row>
    <row r="914" spans="1:10" x14ac:dyDescent="0.35">
      <c r="A914" s="1">
        <v>45522</v>
      </c>
      <c r="B914" t="s">
        <v>11</v>
      </c>
      <c r="C914" t="s">
        <v>17</v>
      </c>
      <c r="D914" t="s">
        <v>31</v>
      </c>
      <c r="E914">
        <v>16</v>
      </c>
      <c r="F914">
        <v>829</v>
      </c>
      <c r="G914" t="s">
        <v>38</v>
      </c>
      <c r="H914">
        <v>13264</v>
      </c>
      <c r="I914">
        <v>8135.5494135370373</v>
      </c>
      <c r="J914">
        <v>5128.4505864629627</v>
      </c>
    </row>
    <row r="915" spans="1:10" x14ac:dyDescent="0.35">
      <c r="A915" s="1">
        <v>45377</v>
      </c>
      <c r="B915" t="s">
        <v>11</v>
      </c>
      <c r="C915" t="s">
        <v>22</v>
      </c>
      <c r="D915" t="s">
        <v>31</v>
      </c>
      <c r="E915">
        <v>14</v>
      </c>
      <c r="F915">
        <v>688</v>
      </c>
      <c r="G915" t="s">
        <v>40</v>
      </c>
      <c r="H915">
        <v>9632</v>
      </c>
      <c r="I915">
        <v>8542.1363601635476</v>
      </c>
      <c r="J915">
        <v>1089.863639836452</v>
      </c>
    </row>
    <row r="916" spans="1:10" x14ac:dyDescent="0.35">
      <c r="A916" s="1">
        <v>45417</v>
      </c>
      <c r="B916" t="s">
        <v>12</v>
      </c>
      <c r="C916" t="s">
        <v>17</v>
      </c>
      <c r="D916" t="s">
        <v>35</v>
      </c>
      <c r="E916">
        <v>11</v>
      </c>
      <c r="F916">
        <v>510</v>
      </c>
      <c r="G916" t="s">
        <v>38</v>
      </c>
      <c r="H916">
        <v>5610</v>
      </c>
      <c r="I916">
        <v>4079.8607464990801</v>
      </c>
      <c r="J916">
        <v>1530.1392535009199</v>
      </c>
    </row>
    <row r="917" spans="1:10" x14ac:dyDescent="0.35">
      <c r="A917" s="1">
        <v>45591</v>
      </c>
      <c r="B917" t="s">
        <v>11</v>
      </c>
      <c r="C917" t="s">
        <v>20</v>
      </c>
      <c r="D917" t="s">
        <v>34</v>
      </c>
      <c r="E917">
        <v>10</v>
      </c>
      <c r="F917">
        <v>476</v>
      </c>
      <c r="G917" t="s">
        <v>38</v>
      </c>
      <c r="H917">
        <v>4760</v>
      </c>
      <c r="I917">
        <v>3269.9707626493582</v>
      </c>
      <c r="J917">
        <v>1490.029237350642</v>
      </c>
    </row>
    <row r="918" spans="1:10" x14ac:dyDescent="0.35">
      <c r="A918" s="1">
        <v>45316</v>
      </c>
      <c r="B918" t="s">
        <v>13</v>
      </c>
      <c r="C918" t="s">
        <v>17</v>
      </c>
      <c r="D918" t="s">
        <v>33</v>
      </c>
      <c r="E918">
        <v>6</v>
      </c>
      <c r="F918">
        <v>1507</v>
      </c>
      <c r="G918" t="s">
        <v>38</v>
      </c>
      <c r="H918">
        <v>9042</v>
      </c>
      <c r="I918">
        <v>6867.8186255899336</v>
      </c>
      <c r="J918">
        <v>2174.1813744100659</v>
      </c>
    </row>
    <row r="919" spans="1:10" x14ac:dyDescent="0.35">
      <c r="A919" s="1">
        <v>45436</v>
      </c>
      <c r="B919" t="s">
        <v>50</v>
      </c>
      <c r="C919" t="s">
        <v>18</v>
      </c>
      <c r="D919" t="s">
        <v>32</v>
      </c>
      <c r="E919">
        <v>4</v>
      </c>
      <c r="F919">
        <v>1969</v>
      </c>
      <c r="G919" t="s">
        <v>39</v>
      </c>
      <c r="H919">
        <v>7876</v>
      </c>
      <c r="I919">
        <v>6618.708883035526</v>
      </c>
      <c r="J919">
        <v>1257.291116964474</v>
      </c>
    </row>
    <row r="920" spans="1:10" x14ac:dyDescent="0.35">
      <c r="A920" s="1">
        <v>45304</v>
      </c>
      <c r="B920" t="s">
        <v>12</v>
      </c>
      <c r="C920" t="s">
        <v>24</v>
      </c>
      <c r="D920" t="s">
        <v>35</v>
      </c>
      <c r="E920">
        <v>1</v>
      </c>
      <c r="F920">
        <v>1275</v>
      </c>
      <c r="G920" t="s">
        <v>40</v>
      </c>
      <c r="H920">
        <v>1275</v>
      </c>
      <c r="I920">
        <v>946.59381112650385</v>
      </c>
      <c r="J920">
        <v>328.40618887349609</v>
      </c>
    </row>
    <row r="921" spans="1:10" x14ac:dyDescent="0.35">
      <c r="A921" s="1">
        <v>45503</v>
      </c>
      <c r="B921" t="s">
        <v>10</v>
      </c>
      <c r="C921" t="s">
        <v>18</v>
      </c>
      <c r="D921" t="s">
        <v>33</v>
      </c>
      <c r="E921">
        <v>7</v>
      </c>
      <c r="F921">
        <v>1958</v>
      </c>
      <c r="G921" t="s">
        <v>39</v>
      </c>
      <c r="H921">
        <v>13706</v>
      </c>
      <c r="I921">
        <v>10876.14552098793</v>
      </c>
      <c r="J921">
        <v>2829.8544790120741</v>
      </c>
    </row>
    <row r="922" spans="1:10" x14ac:dyDescent="0.35">
      <c r="A922" s="1">
        <v>45316</v>
      </c>
      <c r="B922" t="s">
        <v>13</v>
      </c>
      <c r="C922" t="s">
        <v>24</v>
      </c>
      <c r="D922" t="s">
        <v>30</v>
      </c>
      <c r="E922">
        <v>9</v>
      </c>
      <c r="F922">
        <v>850</v>
      </c>
      <c r="G922" t="s">
        <v>40</v>
      </c>
      <c r="H922">
        <v>7650</v>
      </c>
      <c r="I922">
        <v>5737.3035201544444</v>
      </c>
      <c r="J922">
        <v>1912.696479845556</v>
      </c>
    </row>
    <row r="923" spans="1:10" x14ac:dyDescent="0.35">
      <c r="A923" s="1">
        <v>45359</v>
      </c>
      <c r="B923" t="s">
        <v>11</v>
      </c>
      <c r="C923" t="s">
        <v>17</v>
      </c>
      <c r="D923" t="s">
        <v>36</v>
      </c>
      <c r="E923">
        <v>8</v>
      </c>
      <c r="F923">
        <v>726</v>
      </c>
      <c r="G923" t="s">
        <v>38</v>
      </c>
      <c r="H923">
        <v>5808</v>
      </c>
      <c r="I923">
        <v>4584.7287799715559</v>
      </c>
      <c r="J923">
        <v>1223.2712200284441</v>
      </c>
    </row>
    <row r="924" spans="1:10" x14ac:dyDescent="0.35">
      <c r="A924" s="1">
        <v>45358</v>
      </c>
      <c r="B924" t="s">
        <v>10</v>
      </c>
      <c r="C924" t="s">
        <v>24</v>
      </c>
      <c r="D924" t="s">
        <v>31</v>
      </c>
      <c r="E924">
        <v>5</v>
      </c>
      <c r="F924">
        <v>1442</v>
      </c>
      <c r="G924" t="s">
        <v>40</v>
      </c>
      <c r="H924">
        <v>7210</v>
      </c>
      <c r="I924">
        <v>4624.5608695703249</v>
      </c>
      <c r="J924">
        <v>2585.4391304296751</v>
      </c>
    </row>
    <row r="925" spans="1:10" x14ac:dyDescent="0.35">
      <c r="A925" s="1">
        <v>45524</v>
      </c>
      <c r="B925" t="s">
        <v>10</v>
      </c>
      <c r="C925" t="s">
        <v>20</v>
      </c>
      <c r="D925" t="s">
        <v>37</v>
      </c>
      <c r="E925">
        <v>19</v>
      </c>
      <c r="F925">
        <v>1492</v>
      </c>
      <c r="G925" t="s">
        <v>38</v>
      </c>
      <c r="H925">
        <v>28348</v>
      </c>
      <c r="I925">
        <v>17337.60890141303</v>
      </c>
      <c r="J925">
        <v>11010.39109858697</v>
      </c>
    </row>
    <row r="926" spans="1:10" x14ac:dyDescent="0.35">
      <c r="A926" s="1">
        <v>45400</v>
      </c>
      <c r="B926" t="s">
        <v>13</v>
      </c>
      <c r="C926" t="s">
        <v>19</v>
      </c>
      <c r="D926" t="s">
        <v>32</v>
      </c>
      <c r="E926">
        <v>10</v>
      </c>
      <c r="F926">
        <v>1729</v>
      </c>
      <c r="G926" t="s">
        <v>40</v>
      </c>
      <c r="H926">
        <v>17290</v>
      </c>
      <c r="I926">
        <v>11084.10759135238</v>
      </c>
      <c r="J926">
        <v>6205.8924086476236</v>
      </c>
    </row>
    <row r="927" spans="1:10" x14ac:dyDescent="0.35">
      <c r="A927" s="1">
        <v>45437</v>
      </c>
      <c r="B927" t="s">
        <v>13</v>
      </c>
      <c r="C927" t="s">
        <v>24</v>
      </c>
      <c r="D927" t="s">
        <v>30</v>
      </c>
      <c r="E927">
        <v>11</v>
      </c>
      <c r="F927">
        <v>1094</v>
      </c>
      <c r="G927" t="s">
        <v>40</v>
      </c>
      <c r="H927">
        <v>12034</v>
      </c>
      <c r="I927">
        <v>8252.3328698657151</v>
      </c>
      <c r="J927">
        <v>3781.6671301342849</v>
      </c>
    </row>
    <row r="928" spans="1:10" x14ac:dyDescent="0.35">
      <c r="A928" s="1">
        <v>45402</v>
      </c>
      <c r="B928" t="s">
        <v>10</v>
      </c>
      <c r="C928" t="s">
        <v>24</v>
      </c>
      <c r="D928" t="s">
        <v>37</v>
      </c>
      <c r="E928">
        <v>15</v>
      </c>
      <c r="F928">
        <v>1683</v>
      </c>
      <c r="G928" t="s">
        <v>40</v>
      </c>
      <c r="H928">
        <v>25245</v>
      </c>
      <c r="I928">
        <v>17065.792138950739</v>
      </c>
      <c r="J928">
        <v>8179.2078610492636</v>
      </c>
    </row>
    <row r="929" spans="1:10" x14ac:dyDescent="0.35">
      <c r="A929" s="1">
        <v>45519</v>
      </c>
      <c r="B929" t="s">
        <v>10</v>
      </c>
      <c r="C929" t="s">
        <v>17</v>
      </c>
      <c r="D929" t="s">
        <v>31</v>
      </c>
      <c r="E929">
        <v>6</v>
      </c>
      <c r="F929">
        <v>802</v>
      </c>
      <c r="G929" t="s">
        <v>38</v>
      </c>
      <c r="H929">
        <v>4812</v>
      </c>
      <c r="I929">
        <v>3775.2671347701098</v>
      </c>
      <c r="J929">
        <v>1036.73286522989</v>
      </c>
    </row>
    <row r="930" spans="1:10" x14ac:dyDescent="0.35">
      <c r="A930" s="1">
        <v>45402</v>
      </c>
      <c r="B930" t="s">
        <v>12</v>
      </c>
      <c r="C930" t="s">
        <v>20</v>
      </c>
      <c r="D930" t="s">
        <v>30</v>
      </c>
      <c r="E930">
        <v>15</v>
      </c>
      <c r="F930">
        <v>561</v>
      </c>
      <c r="G930" t="s">
        <v>38</v>
      </c>
      <c r="H930">
        <v>8415</v>
      </c>
      <c r="I930">
        <v>6199.8928512268913</v>
      </c>
      <c r="J930">
        <v>2215.1071487731092</v>
      </c>
    </row>
    <row r="931" spans="1:10" x14ac:dyDescent="0.35">
      <c r="A931" s="1">
        <v>45325</v>
      </c>
      <c r="B931" t="s">
        <v>11</v>
      </c>
      <c r="C931" t="s">
        <v>23</v>
      </c>
      <c r="D931" t="s">
        <v>34</v>
      </c>
      <c r="E931">
        <v>5</v>
      </c>
      <c r="F931">
        <v>111</v>
      </c>
      <c r="G931" t="s">
        <v>39</v>
      </c>
      <c r="H931">
        <v>555</v>
      </c>
      <c r="I931">
        <v>339.46219484097003</v>
      </c>
      <c r="J931">
        <v>215.53780515903</v>
      </c>
    </row>
    <row r="932" spans="1:10" x14ac:dyDescent="0.35">
      <c r="A932" s="1">
        <v>45402</v>
      </c>
      <c r="B932" t="s">
        <v>12</v>
      </c>
      <c r="C932" t="s">
        <v>23</v>
      </c>
      <c r="D932" t="s">
        <v>34</v>
      </c>
      <c r="E932">
        <v>19</v>
      </c>
      <c r="F932">
        <v>1279</v>
      </c>
      <c r="G932" t="s">
        <v>39</v>
      </c>
      <c r="H932">
        <v>24301</v>
      </c>
      <c r="I932">
        <v>14834.782916823009</v>
      </c>
      <c r="J932">
        <v>9466.2170831769872</v>
      </c>
    </row>
    <row r="933" spans="1:10" x14ac:dyDescent="0.35">
      <c r="A933" s="1">
        <v>45555</v>
      </c>
      <c r="B933" t="s">
        <v>13</v>
      </c>
      <c r="C933" t="s">
        <v>23</v>
      </c>
      <c r="D933" t="s">
        <v>37</v>
      </c>
      <c r="E933">
        <v>19</v>
      </c>
      <c r="F933">
        <v>1807</v>
      </c>
      <c r="G933" t="s">
        <v>39</v>
      </c>
      <c r="H933">
        <v>34333</v>
      </c>
      <c r="I933">
        <v>21532.847363042649</v>
      </c>
      <c r="J933">
        <v>12800.152636957349</v>
      </c>
    </row>
    <row r="934" spans="1:10" x14ac:dyDescent="0.35">
      <c r="A934" s="1">
        <v>45527</v>
      </c>
      <c r="B934" t="s">
        <v>12</v>
      </c>
      <c r="C934" t="s">
        <v>23</v>
      </c>
      <c r="D934" t="s">
        <v>36</v>
      </c>
      <c r="E934">
        <v>10</v>
      </c>
      <c r="F934">
        <v>576</v>
      </c>
      <c r="G934" t="s">
        <v>39</v>
      </c>
      <c r="H934">
        <v>5760</v>
      </c>
      <c r="I934">
        <v>4066.124239988696</v>
      </c>
      <c r="J934">
        <v>1693.875760011304</v>
      </c>
    </row>
    <row r="935" spans="1:10" x14ac:dyDescent="0.35">
      <c r="A935" s="1">
        <v>45374</v>
      </c>
      <c r="B935" t="s">
        <v>12</v>
      </c>
      <c r="C935" t="s">
        <v>19</v>
      </c>
      <c r="D935" t="s">
        <v>30</v>
      </c>
      <c r="E935">
        <v>12</v>
      </c>
      <c r="F935">
        <v>1038</v>
      </c>
      <c r="G935" t="s">
        <v>40</v>
      </c>
      <c r="H935">
        <v>12456</v>
      </c>
      <c r="I935">
        <v>7496.7044511612639</v>
      </c>
      <c r="J935">
        <v>4959.2955488387361</v>
      </c>
    </row>
    <row r="936" spans="1:10" x14ac:dyDescent="0.35">
      <c r="A936" s="1">
        <v>45333</v>
      </c>
      <c r="B936" t="s">
        <v>12</v>
      </c>
      <c r="D936" t="s">
        <v>33</v>
      </c>
      <c r="E936">
        <v>4</v>
      </c>
      <c r="F936">
        <v>500</v>
      </c>
      <c r="G936" t="s">
        <v>39</v>
      </c>
      <c r="H936">
        <v>2000</v>
      </c>
      <c r="I936">
        <v>1496.3923592580841</v>
      </c>
      <c r="J936">
        <v>503.6076407419157</v>
      </c>
    </row>
    <row r="937" spans="1:10" x14ac:dyDescent="0.35">
      <c r="A937" s="1">
        <v>45392</v>
      </c>
      <c r="B937" t="s">
        <v>12</v>
      </c>
      <c r="C937" t="s">
        <v>17</v>
      </c>
      <c r="D937" t="s">
        <v>30</v>
      </c>
      <c r="E937">
        <v>18</v>
      </c>
      <c r="F937">
        <v>907</v>
      </c>
      <c r="G937" t="s">
        <v>38</v>
      </c>
      <c r="H937">
        <v>16326</v>
      </c>
      <c r="I937">
        <v>11562.0878818541</v>
      </c>
      <c r="J937">
        <v>4763.9121181458959</v>
      </c>
    </row>
    <row r="938" spans="1:10" x14ac:dyDescent="0.35">
      <c r="A938" s="1">
        <v>45297</v>
      </c>
      <c r="B938" t="s">
        <v>11</v>
      </c>
      <c r="C938" t="s">
        <v>17</v>
      </c>
      <c r="D938" t="s">
        <v>36</v>
      </c>
      <c r="E938">
        <v>16</v>
      </c>
      <c r="F938">
        <v>276</v>
      </c>
      <c r="G938" t="s">
        <v>38</v>
      </c>
      <c r="H938">
        <v>4416</v>
      </c>
      <c r="I938">
        <v>3385.4486374736071</v>
      </c>
      <c r="J938">
        <v>1030.5513625263929</v>
      </c>
    </row>
    <row r="939" spans="1:10" x14ac:dyDescent="0.35">
      <c r="A939" s="1">
        <v>45471</v>
      </c>
      <c r="B939" t="s">
        <v>11</v>
      </c>
      <c r="C939" t="s">
        <v>21</v>
      </c>
      <c r="D939" t="s">
        <v>30</v>
      </c>
      <c r="E939">
        <v>8</v>
      </c>
      <c r="F939">
        <v>1464</v>
      </c>
      <c r="G939" t="s">
        <v>40</v>
      </c>
      <c r="H939">
        <v>11712</v>
      </c>
      <c r="I939">
        <v>9559.8915213917298</v>
      </c>
      <c r="J939">
        <v>2152.1084786082702</v>
      </c>
    </row>
    <row r="940" spans="1:10" x14ac:dyDescent="0.35">
      <c r="A940" s="1">
        <v>45573</v>
      </c>
      <c r="B940" t="s">
        <v>10</v>
      </c>
      <c r="C940" t="s">
        <v>20</v>
      </c>
      <c r="D940" t="s">
        <v>37</v>
      </c>
      <c r="E940">
        <v>4</v>
      </c>
      <c r="F940">
        <v>156</v>
      </c>
      <c r="G940" t="s">
        <v>38</v>
      </c>
      <c r="H940">
        <v>624</v>
      </c>
      <c r="I940">
        <v>421.38211105782881</v>
      </c>
      <c r="J940">
        <v>202.61788894217119</v>
      </c>
    </row>
    <row r="941" spans="1:10" x14ac:dyDescent="0.35">
      <c r="A941" s="1">
        <v>45611</v>
      </c>
      <c r="B941" t="s">
        <v>13</v>
      </c>
      <c r="C941" t="s">
        <v>23</v>
      </c>
      <c r="D941" t="s">
        <v>36</v>
      </c>
      <c r="E941">
        <v>12</v>
      </c>
      <c r="F941">
        <v>1978</v>
      </c>
      <c r="G941" t="s">
        <v>39</v>
      </c>
      <c r="H941">
        <v>23736</v>
      </c>
      <c r="I941">
        <v>15360.16123803594</v>
      </c>
      <c r="J941">
        <v>8375.8387619640598</v>
      </c>
    </row>
    <row r="942" spans="1:10" x14ac:dyDescent="0.35">
      <c r="A942" s="1">
        <v>45517</v>
      </c>
      <c r="B942" t="s">
        <v>12</v>
      </c>
      <c r="C942" t="s">
        <v>19</v>
      </c>
      <c r="D942" t="s">
        <v>31</v>
      </c>
      <c r="E942">
        <v>2</v>
      </c>
      <c r="F942">
        <v>1975</v>
      </c>
      <c r="G942" t="s">
        <v>40</v>
      </c>
      <c r="H942">
        <v>3950</v>
      </c>
      <c r="I942">
        <v>2699.4934638166142</v>
      </c>
      <c r="J942">
        <v>1250.5065361833861</v>
      </c>
    </row>
    <row r="943" spans="1:10" x14ac:dyDescent="0.35">
      <c r="A943" s="1">
        <v>45606</v>
      </c>
      <c r="B943" t="s">
        <v>10</v>
      </c>
      <c r="C943" t="s">
        <v>20</v>
      </c>
      <c r="D943" t="s">
        <v>32</v>
      </c>
      <c r="E943">
        <v>4</v>
      </c>
      <c r="F943">
        <v>547</v>
      </c>
      <c r="G943" t="s">
        <v>38</v>
      </c>
      <c r="H943">
        <v>2188</v>
      </c>
      <c r="I943">
        <v>1313.957352633231</v>
      </c>
      <c r="J943">
        <v>874.04264736676919</v>
      </c>
    </row>
    <row r="944" spans="1:10" x14ac:dyDescent="0.35">
      <c r="A944" s="1">
        <v>45656</v>
      </c>
      <c r="B944" t="s">
        <v>10</v>
      </c>
      <c r="C944" t="s">
        <v>23</v>
      </c>
      <c r="D944" t="s">
        <v>36</v>
      </c>
      <c r="E944">
        <v>5</v>
      </c>
      <c r="F944">
        <v>302</v>
      </c>
      <c r="G944" t="s">
        <v>39</v>
      </c>
      <c r="H944">
        <v>1510</v>
      </c>
      <c r="I944">
        <v>960.36586885317865</v>
      </c>
      <c r="J944">
        <v>549.63413114682135</v>
      </c>
    </row>
    <row r="945" spans="1:10" x14ac:dyDescent="0.35">
      <c r="A945" s="1">
        <v>45520</v>
      </c>
      <c r="B945" t="s">
        <v>10</v>
      </c>
      <c r="C945" t="s">
        <v>19</v>
      </c>
      <c r="D945" t="s">
        <v>30</v>
      </c>
      <c r="E945">
        <v>3</v>
      </c>
      <c r="F945">
        <v>1820</v>
      </c>
      <c r="G945" t="s">
        <v>40</v>
      </c>
      <c r="H945">
        <v>5460</v>
      </c>
      <c r="I945">
        <v>4505.860135718216</v>
      </c>
      <c r="J945">
        <v>954.13986428178396</v>
      </c>
    </row>
    <row r="946" spans="1:10" x14ac:dyDescent="0.35">
      <c r="A946" s="1">
        <v>45580</v>
      </c>
      <c r="B946" t="s">
        <v>11</v>
      </c>
      <c r="C946" t="s">
        <v>20</v>
      </c>
      <c r="D946" t="s">
        <v>31</v>
      </c>
      <c r="E946">
        <v>9</v>
      </c>
      <c r="F946">
        <v>1756</v>
      </c>
      <c r="G946" t="s">
        <v>38</v>
      </c>
      <c r="H946">
        <v>15804</v>
      </c>
      <c r="I946">
        <v>10538.77180118823</v>
      </c>
      <c r="J946">
        <v>5265.2281988117684</v>
      </c>
    </row>
    <row r="947" spans="1:10" x14ac:dyDescent="0.35">
      <c r="A947" s="1">
        <v>45441</v>
      </c>
      <c r="B947" t="s">
        <v>12</v>
      </c>
      <c r="C947" t="s">
        <v>17</v>
      </c>
      <c r="D947" t="s">
        <v>32</v>
      </c>
      <c r="E947">
        <v>18</v>
      </c>
      <c r="F947">
        <v>837</v>
      </c>
      <c r="G947" t="s">
        <v>38</v>
      </c>
      <c r="H947">
        <v>15066</v>
      </c>
      <c r="I947">
        <v>13533.635484867489</v>
      </c>
      <c r="J947">
        <v>1532.3645151325049</v>
      </c>
    </row>
    <row r="948" spans="1:10" x14ac:dyDescent="0.35">
      <c r="A948" s="1">
        <v>45568</v>
      </c>
      <c r="B948" t="s">
        <v>12</v>
      </c>
      <c r="C948" t="s">
        <v>17</v>
      </c>
      <c r="D948" t="s">
        <v>34</v>
      </c>
      <c r="E948">
        <v>11</v>
      </c>
      <c r="F948">
        <v>301</v>
      </c>
      <c r="G948" t="s">
        <v>38</v>
      </c>
      <c r="H948">
        <v>3311</v>
      </c>
      <c r="I948">
        <v>2153.3070501716652</v>
      </c>
      <c r="J948">
        <v>1157.692949828335</v>
      </c>
    </row>
    <row r="949" spans="1:10" x14ac:dyDescent="0.35">
      <c r="A949" s="1">
        <v>45489</v>
      </c>
      <c r="B949" t="s">
        <v>13</v>
      </c>
      <c r="C949" t="s">
        <v>18</v>
      </c>
      <c r="D949" t="s">
        <v>33</v>
      </c>
      <c r="E949">
        <v>3</v>
      </c>
      <c r="F949">
        <v>1453</v>
      </c>
      <c r="G949" t="s">
        <v>39</v>
      </c>
      <c r="H949">
        <v>4359</v>
      </c>
      <c r="I949">
        <v>3646.8767724449958</v>
      </c>
      <c r="J949">
        <v>712.12322755500418</v>
      </c>
    </row>
    <row r="950" spans="1:10" x14ac:dyDescent="0.35">
      <c r="A950" s="1">
        <v>45361</v>
      </c>
      <c r="B950" t="s">
        <v>12</v>
      </c>
      <c r="C950" t="s">
        <v>22</v>
      </c>
      <c r="D950" t="s">
        <v>37</v>
      </c>
      <c r="E950">
        <v>2</v>
      </c>
      <c r="F950">
        <v>462</v>
      </c>
      <c r="G950" t="s">
        <v>40</v>
      </c>
      <c r="H950">
        <v>924</v>
      </c>
      <c r="I950">
        <v>749.83832759003815</v>
      </c>
      <c r="J950">
        <v>174.16167240996191</v>
      </c>
    </row>
    <row r="951" spans="1:10" x14ac:dyDescent="0.35">
      <c r="A951" s="1">
        <v>45403</v>
      </c>
      <c r="B951" t="s">
        <v>12</v>
      </c>
      <c r="C951" t="s">
        <v>18</v>
      </c>
      <c r="D951" t="s">
        <v>30</v>
      </c>
      <c r="E951">
        <v>9</v>
      </c>
      <c r="F951">
        <v>991</v>
      </c>
      <c r="G951" t="s">
        <v>39</v>
      </c>
      <c r="H951">
        <v>8919</v>
      </c>
      <c r="I951">
        <v>6213.3289745335951</v>
      </c>
      <c r="J951">
        <v>2705.6710254664049</v>
      </c>
    </row>
    <row r="952" spans="1:10" x14ac:dyDescent="0.35">
      <c r="A952" s="1">
        <v>45295</v>
      </c>
      <c r="B952" t="s">
        <v>10</v>
      </c>
      <c r="C952" t="s">
        <v>24</v>
      </c>
      <c r="D952" t="s">
        <v>30</v>
      </c>
      <c r="E952">
        <v>14</v>
      </c>
      <c r="F952">
        <v>553</v>
      </c>
      <c r="G952" t="s">
        <v>40</v>
      </c>
      <c r="H952">
        <v>7742</v>
      </c>
      <c r="I952">
        <v>5413.3747348463112</v>
      </c>
      <c r="J952">
        <v>2328.6252651536888</v>
      </c>
    </row>
    <row r="953" spans="1:10" x14ac:dyDescent="0.35">
      <c r="A953" s="1">
        <v>45641</v>
      </c>
      <c r="B953" t="s">
        <v>13</v>
      </c>
      <c r="C953" t="s">
        <v>18</v>
      </c>
      <c r="D953" t="s">
        <v>34</v>
      </c>
      <c r="E953">
        <v>4</v>
      </c>
      <c r="F953">
        <v>455</v>
      </c>
      <c r="G953" t="s">
        <v>39</v>
      </c>
      <c r="H953">
        <v>1820</v>
      </c>
      <c r="I953">
        <v>1399.699163208039</v>
      </c>
      <c r="J953">
        <v>420.30083679196082</v>
      </c>
    </row>
    <row r="954" spans="1:10" x14ac:dyDescent="0.35">
      <c r="A954" s="1">
        <v>45622</v>
      </c>
      <c r="B954" t="s">
        <v>12</v>
      </c>
      <c r="C954" t="s">
        <v>23</v>
      </c>
      <c r="D954" t="s">
        <v>33</v>
      </c>
      <c r="F954">
        <v>315</v>
      </c>
      <c r="G954" t="s">
        <v>39</v>
      </c>
    </row>
    <row r="955" spans="1:10" x14ac:dyDescent="0.35">
      <c r="A955" s="1">
        <v>45609</v>
      </c>
      <c r="B955" t="s">
        <v>11</v>
      </c>
      <c r="C955" t="s">
        <v>21</v>
      </c>
      <c r="D955" t="s">
        <v>34</v>
      </c>
      <c r="E955">
        <v>13</v>
      </c>
      <c r="F955">
        <v>1071</v>
      </c>
      <c r="G955" t="s">
        <v>40</v>
      </c>
      <c r="H955">
        <v>13923</v>
      </c>
      <c r="I955">
        <v>9966.8642468925918</v>
      </c>
      <c r="J955">
        <v>3956.1357531074082</v>
      </c>
    </row>
    <row r="956" spans="1:10" x14ac:dyDescent="0.35">
      <c r="A956" s="1">
        <v>45641</v>
      </c>
      <c r="B956" t="s">
        <v>12</v>
      </c>
      <c r="C956" t="s">
        <v>20</v>
      </c>
      <c r="D956" t="s">
        <v>35</v>
      </c>
      <c r="E956">
        <v>18</v>
      </c>
      <c r="F956">
        <v>654</v>
      </c>
      <c r="G956" t="s">
        <v>38</v>
      </c>
      <c r="H956">
        <v>11772</v>
      </c>
      <c r="I956">
        <v>7279.2628674514444</v>
      </c>
      <c r="J956">
        <v>4492.7371325485556</v>
      </c>
    </row>
    <row r="957" spans="1:10" x14ac:dyDescent="0.35">
      <c r="A957" s="1">
        <v>45386</v>
      </c>
      <c r="B957" t="s">
        <v>10</v>
      </c>
      <c r="C957" t="s">
        <v>21</v>
      </c>
      <c r="D957" t="s">
        <v>34</v>
      </c>
      <c r="E957">
        <v>15</v>
      </c>
      <c r="F957">
        <v>986</v>
      </c>
      <c r="G957" t="s">
        <v>40</v>
      </c>
      <c r="H957">
        <v>14790</v>
      </c>
      <c r="I957">
        <v>10535.297887915491</v>
      </c>
      <c r="J957">
        <v>4254.7021120845093</v>
      </c>
    </row>
    <row r="958" spans="1:10" x14ac:dyDescent="0.35">
      <c r="A958" s="1">
        <v>45443</v>
      </c>
      <c r="B958" t="s">
        <v>11</v>
      </c>
      <c r="C958" t="s">
        <v>22</v>
      </c>
      <c r="D958" t="s">
        <v>31</v>
      </c>
      <c r="E958">
        <v>10</v>
      </c>
      <c r="F958">
        <v>122</v>
      </c>
      <c r="G958" t="s">
        <v>40</v>
      </c>
      <c r="H958">
        <v>1220</v>
      </c>
      <c r="I958">
        <v>807.87643840684336</v>
      </c>
      <c r="J958">
        <v>412.12356159315658</v>
      </c>
    </row>
    <row r="959" spans="1:10" x14ac:dyDescent="0.35">
      <c r="A959" s="1">
        <v>45602</v>
      </c>
      <c r="B959" t="s">
        <v>50</v>
      </c>
      <c r="C959" t="s">
        <v>24</v>
      </c>
      <c r="D959" t="s">
        <v>32</v>
      </c>
      <c r="E959">
        <v>16</v>
      </c>
      <c r="F959">
        <v>254</v>
      </c>
      <c r="G959" t="s">
        <v>40</v>
      </c>
      <c r="H959">
        <v>4064</v>
      </c>
      <c r="I959">
        <v>3583.4811952056689</v>
      </c>
      <c r="J959">
        <v>480.51880479433072</v>
      </c>
    </row>
    <row r="960" spans="1:10" x14ac:dyDescent="0.35">
      <c r="A960" s="1">
        <v>45428</v>
      </c>
      <c r="B960" t="s">
        <v>12</v>
      </c>
      <c r="C960" t="s">
        <v>20</v>
      </c>
      <c r="D960" t="s">
        <v>30</v>
      </c>
      <c r="E960">
        <v>12</v>
      </c>
      <c r="F960">
        <v>1309</v>
      </c>
      <c r="G960" t="s">
        <v>38</v>
      </c>
      <c r="H960">
        <v>15708</v>
      </c>
      <c r="I960">
        <v>12710.635629862019</v>
      </c>
      <c r="J960">
        <v>2997.3643701379842</v>
      </c>
    </row>
    <row r="961" spans="1:10" x14ac:dyDescent="0.35">
      <c r="A961" s="1">
        <v>45538</v>
      </c>
      <c r="B961" t="s">
        <v>11</v>
      </c>
      <c r="C961" t="s">
        <v>19</v>
      </c>
      <c r="D961" t="s">
        <v>34</v>
      </c>
      <c r="E961">
        <v>5</v>
      </c>
      <c r="F961">
        <v>348</v>
      </c>
      <c r="G961" t="s">
        <v>40</v>
      </c>
      <c r="H961">
        <v>1740</v>
      </c>
      <c r="I961">
        <v>1070.5346507193681</v>
      </c>
      <c r="J961">
        <v>669.46534928063193</v>
      </c>
    </row>
    <row r="962" spans="1:10" x14ac:dyDescent="0.35">
      <c r="A962" s="1">
        <v>45534</v>
      </c>
      <c r="B962" t="s">
        <v>13</v>
      </c>
      <c r="C962" t="s">
        <v>23</v>
      </c>
      <c r="D962" t="s">
        <v>30</v>
      </c>
      <c r="E962">
        <v>2</v>
      </c>
      <c r="F962">
        <v>848</v>
      </c>
      <c r="G962" t="s">
        <v>39</v>
      </c>
      <c r="H962">
        <v>1696</v>
      </c>
      <c r="I962">
        <v>1166.672567759214</v>
      </c>
      <c r="J962">
        <v>529.32743224078581</v>
      </c>
    </row>
    <row r="963" spans="1:10" x14ac:dyDescent="0.35">
      <c r="A963" s="1">
        <v>45322</v>
      </c>
      <c r="B963" t="s">
        <v>13</v>
      </c>
      <c r="C963" t="s">
        <v>24</v>
      </c>
      <c r="D963" t="s">
        <v>36</v>
      </c>
      <c r="E963">
        <v>10</v>
      </c>
      <c r="F963">
        <v>904</v>
      </c>
      <c r="G963" t="s">
        <v>40</v>
      </c>
      <c r="H963">
        <v>9040</v>
      </c>
      <c r="I963">
        <v>5560.1856968652282</v>
      </c>
      <c r="J963">
        <v>3479.8143031347722</v>
      </c>
    </row>
    <row r="964" spans="1:10" x14ac:dyDescent="0.35">
      <c r="A964" s="1">
        <v>45331</v>
      </c>
      <c r="B964" t="s">
        <v>11</v>
      </c>
      <c r="C964" t="s">
        <v>17</v>
      </c>
      <c r="D964" t="s">
        <v>33</v>
      </c>
      <c r="E964">
        <v>1</v>
      </c>
      <c r="F964">
        <v>233</v>
      </c>
      <c r="G964" t="s">
        <v>38</v>
      </c>
      <c r="H964">
        <v>233</v>
      </c>
      <c r="I964">
        <v>197.81816525919751</v>
      </c>
      <c r="J964">
        <v>35.181834740802458</v>
      </c>
    </row>
    <row r="965" spans="1:10" x14ac:dyDescent="0.35">
      <c r="A965" s="1">
        <v>45520</v>
      </c>
      <c r="B965" t="s">
        <v>11</v>
      </c>
      <c r="C965" t="s">
        <v>22</v>
      </c>
      <c r="D965" t="s">
        <v>34</v>
      </c>
      <c r="E965">
        <v>7</v>
      </c>
      <c r="F965">
        <v>420</v>
      </c>
      <c r="G965" t="s">
        <v>40</v>
      </c>
      <c r="H965">
        <v>2940</v>
      </c>
      <c r="I965">
        <v>2563.353426482116</v>
      </c>
      <c r="J965">
        <v>376.64657351788401</v>
      </c>
    </row>
    <row r="966" spans="1:10" x14ac:dyDescent="0.35">
      <c r="A966" s="1">
        <v>45327</v>
      </c>
      <c r="B966" t="s">
        <v>10</v>
      </c>
      <c r="C966" t="s">
        <v>24</v>
      </c>
      <c r="D966" t="s">
        <v>32</v>
      </c>
      <c r="E966">
        <v>17</v>
      </c>
      <c r="F966">
        <v>489</v>
      </c>
      <c r="G966" t="s">
        <v>40</v>
      </c>
      <c r="H966">
        <v>8313</v>
      </c>
      <c r="I966">
        <v>5267.8141090020672</v>
      </c>
      <c r="J966">
        <v>3045.1858909979328</v>
      </c>
    </row>
    <row r="967" spans="1:10" x14ac:dyDescent="0.35">
      <c r="A967" s="1">
        <v>45514</v>
      </c>
      <c r="B967" t="s">
        <v>11</v>
      </c>
      <c r="C967" t="s">
        <v>23</v>
      </c>
      <c r="D967" t="s">
        <v>31</v>
      </c>
      <c r="E967">
        <v>16</v>
      </c>
      <c r="F967">
        <v>533</v>
      </c>
      <c r="G967" t="s">
        <v>39</v>
      </c>
      <c r="H967">
        <v>8528</v>
      </c>
      <c r="I967">
        <v>6243.2380537086483</v>
      </c>
      <c r="J967">
        <v>2284.7619462913522</v>
      </c>
    </row>
    <row r="968" spans="1:10" x14ac:dyDescent="0.35">
      <c r="A968" s="1">
        <v>45297</v>
      </c>
      <c r="B968" t="s">
        <v>10</v>
      </c>
      <c r="C968" t="s">
        <v>18</v>
      </c>
      <c r="D968" t="s">
        <v>35</v>
      </c>
      <c r="E968">
        <v>3</v>
      </c>
      <c r="F968">
        <v>1145</v>
      </c>
      <c r="G968" t="s">
        <v>39</v>
      </c>
      <c r="H968">
        <v>3435</v>
      </c>
      <c r="I968">
        <v>3021.3057219324369</v>
      </c>
      <c r="J968">
        <v>413.69427806756312</v>
      </c>
    </row>
    <row r="969" spans="1:10" x14ac:dyDescent="0.35">
      <c r="A969" s="1">
        <v>45613</v>
      </c>
      <c r="B969" t="s">
        <v>12</v>
      </c>
      <c r="C969" t="s">
        <v>24</v>
      </c>
      <c r="D969" t="s">
        <v>30</v>
      </c>
      <c r="E969">
        <v>14</v>
      </c>
      <c r="F969">
        <v>972</v>
      </c>
      <c r="G969" t="s">
        <v>40</v>
      </c>
      <c r="H969">
        <v>13608</v>
      </c>
      <c r="I969">
        <v>8757.6121898439706</v>
      </c>
      <c r="J969">
        <v>4850.3878101560294</v>
      </c>
    </row>
    <row r="970" spans="1:10" x14ac:dyDescent="0.35">
      <c r="A970" s="1">
        <v>45511</v>
      </c>
      <c r="B970" t="s">
        <v>10</v>
      </c>
      <c r="C970" t="s">
        <v>18</v>
      </c>
      <c r="D970" t="s">
        <v>33</v>
      </c>
      <c r="E970">
        <v>10</v>
      </c>
      <c r="F970">
        <v>1723</v>
      </c>
      <c r="G970" t="s">
        <v>39</v>
      </c>
      <c r="H970">
        <v>17230</v>
      </c>
      <c r="I970">
        <v>11846.849660102491</v>
      </c>
      <c r="J970">
        <v>5383.1503398975074</v>
      </c>
    </row>
    <row r="971" spans="1:10" x14ac:dyDescent="0.35">
      <c r="A971" s="1">
        <v>45366</v>
      </c>
      <c r="B971" t="s">
        <v>11</v>
      </c>
      <c r="C971" t="s">
        <v>23</v>
      </c>
      <c r="D971" t="s">
        <v>37</v>
      </c>
      <c r="E971">
        <v>7</v>
      </c>
      <c r="F971">
        <v>1788</v>
      </c>
      <c r="G971" t="s">
        <v>39</v>
      </c>
      <c r="H971">
        <v>12516</v>
      </c>
      <c r="I971">
        <v>8652.0904564682878</v>
      </c>
      <c r="J971">
        <v>3863.9095435317122</v>
      </c>
    </row>
    <row r="972" spans="1:10" x14ac:dyDescent="0.35">
      <c r="A972" s="1">
        <v>45295</v>
      </c>
      <c r="B972" t="s">
        <v>11</v>
      </c>
      <c r="C972" t="s">
        <v>17</v>
      </c>
      <c r="D972" t="s">
        <v>32</v>
      </c>
      <c r="E972">
        <v>17</v>
      </c>
      <c r="F972">
        <v>1248</v>
      </c>
      <c r="G972" t="s">
        <v>38</v>
      </c>
      <c r="H972">
        <v>21216</v>
      </c>
      <c r="I972">
        <v>12920.915145503281</v>
      </c>
      <c r="J972">
        <v>8295.0848544967193</v>
      </c>
    </row>
    <row r="973" spans="1:10" x14ac:dyDescent="0.35">
      <c r="A973" s="1">
        <v>45626</v>
      </c>
      <c r="B973" t="s">
        <v>12</v>
      </c>
      <c r="C973" t="s">
        <v>20</v>
      </c>
      <c r="D973" t="s">
        <v>37</v>
      </c>
      <c r="E973">
        <v>6</v>
      </c>
      <c r="F973">
        <v>1202</v>
      </c>
      <c r="G973" t="s">
        <v>38</v>
      </c>
      <c r="H973">
        <v>7212</v>
      </c>
      <c r="I973">
        <v>4405.6807705752644</v>
      </c>
      <c r="J973">
        <v>2806.319229424736</v>
      </c>
    </row>
    <row r="974" spans="1:10" x14ac:dyDescent="0.35">
      <c r="A974" s="1">
        <v>45425</v>
      </c>
      <c r="B974" t="s">
        <v>11</v>
      </c>
      <c r="C974" t="s">
        <v>19</v>
      </c>
      <c r="D974" t="s">
        <v>32</v>
      </c>
      <c r="E974">
        <v>4</v>
      </c>
      <c r="F974">
        <v>957</v>
      </c>
      <c r="G974" t="s">
        <v>40</v>
      </c>
      <c r="H974">
        <v>3828</v>
      </c>
      <c r="I974">
        <v>3390.9872826220171</v>
      </c>
      <c r="J974">
        <v>437.01271737798288</v>
      </c>
    </row>
    <row r="975" spans="1:10" x14ac:dyDescent="0.35">
      <c r="A975" s="1">
        <v>45409</v>
      </c>
      <c r="B975" t="s">
        <v>11</v>
      </c>
      <c r="C975" t="s">
        <v>17</v>
      </c>
      <c r="D975" t="s">
        <v>32</v>
      </c>
      <c r="E975">
        <v>17</v>
      </c>
      <c r="F975">
        <v>150</v>
      </c>
      <c r="G975" t="s">
        <v>38</v>
      </c>
      <c r="H975">
        <v>2550</v>
      </c>
      <c r="I975">
        <v>1966.8858458744839</v>
      </c>
      <c r="J975">
        <v>583.1141541255156</v>
      </c>
    </row>
    <row r="976" spans="1:10" x14ac:dyDescent="0.35">
      <c r="A976" s="1">
        <v>45385</v>
      </c>
      <c r="B976" t="s">
        <v>13</v>
      </c>
      <c r="C976" t="s">
        <v>18</v>
      </c>
      <c r="D976" t="s">
        <v>31</v>
      </c>
      <c r="E976">
        <v>9</v>
      </c>
      <c r="F976">
        <v>1851</v>
      </c>
      <c r="G976" t="s">
        <v>39</v>
      </c>
      <c r="H976">
        <v>16659</v>
      </c>
      <c r="I976">
        <v>11527.936316003799</v>
      </c>
      <c r="J976">
        <v>5131.0636839961971</v>
      </c>
    </row>
    <row r="977" spans="1:10" x14ac:dyDescent="0.35">
      <c r="A977" s="1">
        <v>45353</v>
      </c>
      <c r="B977" t="s">
        <v>13</v>
      </c>
      <c r="C977" t="s">
        <v>18</v>
      </c>
      <c r="D977" t="s">
        <v>31</v>
      </c>
      <c r="E977">
        <v>4</v>
      </c>
      <c r="F977">
        <v>275</v>
      </c>
      <c r="G977" t="s">
        <v>39</v>
      </c>
      <c r="H977">
        <v>1100</v>
      </c>
      <c r="I977">
        <v>784.96263803317288</v>
      </c>
      <c r="J977">
        <v>315.03736196682712</v>
      </c>
    </row>
    <row r="978" spans="1:10" x14ac:dyDescent="0.35">
      <c r="A978" s="1">
        <v>45485</v>
      </c>
      <c r="B978" t="s">
        <v>12</v>
      </c>
      <c r="C978" t="s">
        <v>19</v>
      </c>
      <c r="D978" t="s">
        <v>31</v>
      </c>
      <c r="E978">
        <v>7</v>
      </c>
      <c r="F978">
        <v>969</v>
      </c>
      <c r="G978" t="s">
        <v>40</v>
      </c>
      <c r="H978">
        <v>6783</v>
      </c>
      <c r="I978">
        <v>5524.4338759067396</v>
      </c>
      <c r="J978">
        <v>1258.56612409326</v>
      </c>
    </row>
    <row r="979" spans="1:10" x14ac:dyDescent="0.35">
      <c r="A979" s="1">
        <v>45626</v>
      </c>
      <c r="B979" t="s">
        <v>10</v>
      </c>
      <c r="C979" t="s">
        <v>20</v>
      </c>
      <c r="D979" t="s">
        <v>34</v>
      </c>
      <c r="E979">
        <v>2</v>
      </c>
      <c r="G979" t="s">
        <v>38</v>
      </c>
    </row>
    <row r="980" spans="1:10" x14ac:dyDescent="0.35">
      <c r="A980" s="1">
        <v>45494</v>
      </c>
      <c r="B980" t="s">
        <v>13</v>
      </c>
      <c r="C980" t="s">
        <v>24</v>
      </c>
      <c r="D980" t="s">
        <v>36</v>
      </c>
      <c r="E980">
        <v>17</v>
      </c>
      <c r="F980">
        <v>1065</v>
      </c>
      <c r="G980" t="s">
        <v>40</v>
      </c>
      <c r="H980">
        <v>18105</v>
      </c>
      <c r="I980">
        <v>12100.080629401191</v>
      </c>
      <c r="J980">
        <v>6004.9193705988046</v>
      </c>
    </row>
    <row r="981" spans="1:10" x14ac:dyDescent="0.35">
      <c r="A981" s="1">
        <v>45317</v>
      </c>
      <c r="B981" t="s">
        <v>10</v>
      </c>
      <c r="D981" t="s">
        <v>32</v>
      </c>
      <c r="E981">
        <v>8</v>
      </c>
      <c r="F981">
        <v>1369</v>
      </c>
      <c r="G981" t="s">
        <v>40</v>
      </c>
      <c r="H981">
        <v>10952</v>
      </c>
      <c r="I981">
        <v>6905.7967695603002</v>
      </c>
      <c r="J981">
        <v>4046.2032304396998</v>
      </c>
    </row>
    <row r="982" spans="1:10" x14ac:dyDescent="0.35">
      <c r="A982" s="1">
        <v>45464</v>
      </c>
      <c r="B982" t="s">
        <v>11</v>
      </c>
      <c r="C982" t="s">
        <v>22</v>
      </c>
      <c r="D982" t="s">
        <v>33</v>
      </c>
      <c r="E982">
        <v>15</v>
      </c>
      <c r="G982" t="s">
        <v>40</v>
      </c>
    </row>
    <row r="983" spans="1:10" x14ac:dyDescent="0.35">
      <c r="A983" s="1">
        <v>45591</v>
      </c>
      <c r="B983" t="s">
        <v>13</v>
      </c>
      <c r="C983" t="s">
        <v>22</v>
      </c>
      <c r="D983" t="s">
        <v>37</v>
      </c>
      <c r="E983">
        <v>15</v>
      </c>
      <c r="F983">
        <v>1229</v>
      </c>
      <c r="G983" t="s">
        <v>40</v>
      </c>
      <c r="H983">
        <v>18435</v>
      </c>
      <c r="I983">
        <v>12059.61482472233</v>
      </c>
      <c r="J983">
        <v>6375.38517527767</v>
      </c>
    </row>
    <row r="984" spans="1:10" x14ac:dyDescent="0.35">
      <c r="A984" s="1">
        <v>45424</v>
      </c>
      <c r="B984" t="s">
        <v>12</v>
      </c>
      <c r="C984" t="s">
        <v>23</v>
      </c>
      <c r="D984" t="s">
        <v>31</v>
      </c>
      <c r="E984">
        <v>8</v>
      </c>
      <c r="F984">
        <v>0</v>
      </c>
      <c r="G984" t="s">
        <v>39</v>
      </c>
      <c r="H984">
        <v>0</v>
      </c>
      <c r="I984">
        <v>0</v>
      </c>
      <c r="J984">
        <v>0</v>
      </c>
    </row>
    <row r="985" spans="1:10" x14ac:dyDescent="0.35">
      <c r="A985" s="1">
        <v>45617</v>
      </c>
      <c r="B985" t="s">
        <v>12</v>
      </c>
      <c r="C985" t="s">
        <v>17</v>
      </c>
      <c r="D985" t="s">
        <v>34</v>
      </c>
      <c r="E985">
        <v>16</v>
      </c>
      <c r="F985">
        <v>1439</v>
      </c>
      <c r="G985" t="s">
        <v>38</v>
      </c>
      <c r="H985">
        <v>23024</v>
      </c>
      <c r="I985">
        <v>16763.459745933269</v>
      </c>
      <c r="J985">
        <v>6260.5402540667346</v>
      </c>
    </row>
    <row r="986" spans="1:10" x14ac:dyDescent="0.35">
      <c r="A986" s="1">
        <v>45409</v>
      </c>
      <c r="B986" t="s">
        <v>12</v>
      </c>
      <c r="C986" t="s">
        <v>18</v>
      </c>
      <c r="D986" t="s">
        <v>31</v>
      </c>
      <c r="E986">
        <v>19</v>
      </c>
      <c r="F986">
        <v>401</v>
      </c>
      <c r="G986" t="s">
        <v>39</v>
      </c>
      <c r="H986">
        <v>7619</v>
      </c>
      <c r="I986">
        <v>4661.8473474122111</v>
      </c>
      <c r="J986">
        <v>2957.1526525877889</v>
      </c>
    </row>
    <row r="987" spans="1:10" x14ac:dyDescent="0.35">
      <c r="A987" s="1">
        <v>45615</v>
      </c>
      <c r="B987" t="s">
        <v>13</v>
      </c>
      <c r="C987" t="s">
        <v>20</v>
      </c>
      <c r="D987" t="s">
        <v>37</v>
      </c>
      <c r="E987">
        <v>11</v>
      </c>
      <c r="F987">
        <v>647</v>
      </c>
      <c r="G987" t="s">
        <v>38</v>
      </c>
      <c r="H987">
        <v>7117</v>
      </c>
      <c r="I987">
        <v>6330.5673543678977</v>
      </c>
      <c r="J987">
        <v>786.43264563210232</v>
      </c>
    </row>
    <row r="988" spans="1:10" x14ac:dyDescent="0.35">
      <c r="A988" s="1">
        <v>45566</v>
      </c>
      <c r="B988" t="s">
        <v>10</v>
      </c>
      <c r="C988" t="s">
        <v>23</v>
      </c>
      <c r="D988" t="s">
        <v>37</v>
      </c>
      <c r="E988">
        <v>2</v>
      </c>
      <c r="F988">
        <v>815</v>
      </c>
      <c r="G988" t="s">
        <v>39</v>
      </c>
      <c r="H988">
        <v>1630</v>
      </c>
      <c r="I988">
        <v>1284.7462611440969</v>
      </c>
      <c r="J988">
        <v>345.25373885590329</v>
      </c>
    </row>
    <row r="989" spans="1:10" x14ac:dyDescent="0.35">
      <c r="A989" s="1">
        <v>45503</v>
      </c>
      <c r="B989" t="s">
        <v>11</v>
      </c>
      <c r="C989" t="s">
        <v>17</v>
      </c>
      <c r="D989" t="s">
        <v>30</v>
      </c>
      <c r="E989">
        <v>17</v>
      </c>
      <c r="F989">
        <v>878</v>
      </c>
      <c r="G989" t="s">
        <v>38</v>
      </c>
      <c r="H989">
        <v>14926</v>
      </c>
      <c r="I989">
        <v>9639.3457778176107</v>
      </c>
      <c r="J989">
        <v>5286.6542221823893</v>
      </c>
    </row>
    <row r="990" spans="1:10" x14ac:dyDescent="0.35">
      <c r="A990" s="1">
        <v>45516</v>
      </c>
      <c r="B990" t="s">
        <v>10</v>
      </c>
      <c r="C990" t="s">
        <v>17</v>
      </c>
      <c r="D990" t="s">
        <v>32</v>
      </c>
      <c r="E990">
        <v>16</v>
      </c>
      <c r="F990">
        <v>367</v>
      </c>
      <c r="G990" t="s">
        <v>38</v>
      </c>
      <c r="H990">
        <v>5872</v>
      </c>
      <c r="I990">
        <v>3826.9951186876092</v>
      </c>
      <c r="J990">
        <v>2045.004881312391</v>
      </c>
    </row>
    <row r="991" spans="1:10" x14ac:dyDescent="0.35">
      <c r="A991" s="1">
        <v>45311</v>
      </c>
      <c r="B991" t="s">
        <v>10</v>
      </c>
      <c r="C991" t="s">
        <v>23</v>
      </c>
      <c r="D991" t="s">
        <v>31</v>
      </c>
      <c r="E991">
        <v>15</v>
      </c>
      <c r="F991">
        <v>1293</v>
      </c>
      <c r="G991" t="s">
        <v>39</v>
      </c>
      <c r="H991">
        <v>19395</v>
      </c>
      <c r="I991">
        <v>14952.54701246755</v>
      </c>
      <c r="J991">
        <v>4442.4529875324479</v>
      </c>
    </row>
    <row r="992" spans="1:10" x14ac:dyDescent="0.35">
      <c r="A992" s="1">
        <v>45404</v>
      </c>
      <c r="B992" t="s">
        <v>11</v>
      </c>
      <c r="C992" t="s">
        <v>21</v>
      </c>
      <c r="D992" t="s">
        <v>37</v>
      </c>
      <c r="E992">
        <v>13</v>
      </c>
      <c r="F992">
        <v>1109</v>
      </c>
      <c r="G992" t="s">
        <v>40</v>
      </c>
      <c r="H992">
        <v>14417</v>
      </c>
      <c r="I992">
        <v>10192.38255706169</v>
      </c>
      <c r="J992">
        <v>4224.6174429383082</v>
      </c>
    </row>
    <row r="993" spans="1:10" x14ac:dyDescent="0.35">
      <c r="A993" s="1">
        <v>45431</v>
      </c>
      <c r="B993" t="s">
        <v>11</v>
      </c>
      <c r="C993" t="s">
        <v>17</v>
      </c>
      <c r="D993" t="s">
        <v>36</v>
      </c>
      <c r="E993">
        <v>15</v>
      </c>
      <c r="F993">
        <v>650</v>
      </c>
      <c r="G993" t="s">
        <v>38</v>
      </c>
      <c r="H993">
        <v>9750</v>
      </c>
      <c r="I993">
        <v>8114.7302267490622</v>
      </c>
      <c r="J993">
        <v>1635.269773250938</v>
      </c>
    </row>
    <row r="994" spans="1:10" x14ac:dyDescent="0.35">
      <c r="A994" s="1">
        <v>45338</v>
      </c>
      <c r="B994" t="s">
        <v>13</v>
      </c>
      <c r="C994" t="s">
        <v>21</v>
      </c>
      <c r="D994" t="s">
        <v>36</v>
      </c>
      <c r="E994">
        <v>4</v>
      </c>
      <c r="F994">
        <v>1578</v>
      </c>
      <c r="G994" t="s">
        <v>40</v>
      </c>
      <c r="H994">
        <v>6312</v>
      </c>
      <c r="I994">
        <v>4820.7391611679795</v>
      </c>
      <c r="J994">
        <v>1491.26083883202</v>
      </c>
    </row>
    <row r="995" spans="1:10" x14ac:dyDescent="0.35">
      <c r="A995" s="1">
        <v>45292</v>
      </c>
      <c r="B995" t="s">
        <v>13</v>
      </c>
      <c r="C995" t="s">
        <v>22</v>
      </c>
      <c r="D995" t="s">
        <v>31</v>
      </c>
      <c r="E995">
        <v>16</v>
      </c>
      <c r="F995">
        <v>1774</v>
      </c>
      <c r="G995" t="s">
        <v>40</v>
      </c>
      <c r="H995">
        <v>28384</v>
      </c>
      <c r="I995">
        <v>20720.324616869981</v>
      </c>
      <c r="J995">
        <v>7663.6753831300193</v>
      </c>
    </row>
    <row r="996" spans="1:10" x14ac:dyDescent="0.35">
      <c r="A996" s="1">
        <v>45381</v>
      </c>
      <c r="B996" t="s">
        <v>13</v>
      </c>
      <c r="C996" t="s">
        <v>22</v>
      </c>
      <c r="D996" t="s">
        <v>34</v>
      </c>
      <c r="E996">
        <v>12</v>
      </c>
      <c r="F996">
        <v>1415</v>
      </c>
      <c r="G996" t="s">
        <v>40</v>
      </c>
      <c r="H996">
        <v>16980</v>
      </c>
      <c r="I996">
        <v>15093.421383644491</v>
      </c>
      <c r="J996">
        <v>1886.5786163555081</v>
      </c>
    </row>
    <row r="997" spans="1:10" x14ac:dyDescent="0.35">
      <c r="A997" s="1">
        <v>45433</v>
      </c>
      <c r="B997" t="s">
        <v>13</v>
      </c>
      <c r="C997" t="s">
        <v>17</v>
      </c>
      <c r="D997" t="s">
        <v>37</v>
      </c>
      <c r="E997">
        <v>4</v>
      </c>
      <c r="F997">
        <v>1687</v>
      </c>
      <c r="G997" t="s">
        <v>38</v>
      </c>
      <c r="H997">
        <v>6748</v>
      </c>
      <c r="I997">
        <v>4839.791901390895</v>
      </c>
      <c r="J997">
        <v>1908.208098609105</v>
      </c>
    </row>
    <row r="998" spans="1:10" x14ac:dyDescent="0.35">
      <c r="A998" s="1">
        <v>45611</v>
      </c>
      <c r="B998" t="s">
        <v>13</v>
      </c>
      <c r="C998" t="s">
        <v>22</v>
      </c>
      <c r="D998" t="s">
        <v>30</v>
      </c>
      <c r="E998">
        <v>3</v>
      </c>
      <c r="F998">
        <v>1922</v>
      </c>
      <c r="G998" t="s">
        <v>40</v>
      </c>
      <c r="H998">
        <v>5766</v>
      </c>
      <c r="I998">
        <v>4152.5767759846449</v>
      </c>
      <c r="J998">
        <v>1613.4232240153549</v>
      </c>
    </row>
    <row r="999" spans="1:10" x14ac:dyDescent="0.35">
      <c r="A999" s="1">
        <v>45329</v>
      </c>
      <c r="B999" t="s">
        <v>11</v>
      </c>
      <c r="C999" t="s">
        <v>20</v>
      </c>
      <c r="D999" t="s">
        <v>32</v>
      </c>
      <c r="E999">
        <v>17</v>
      </c>
      <c r="F999">
        <v>1924</v>
      </c>
      <c r="G999" t="s">
        <v>38</v>
      </c>
      <c r="H999">
        <v>32708</v>
      </c>
      <c r="I999">
        <v>26157.625304416892</v>
      </c>
      <c r="J999">
        <v>6550.374695583112</v>
      </c>
    </row>
    <row r="1000" spans="1:10" x14ac:dyDescent="0.35">
      <c r="A1000" s="1">
        <v>45584</v>
      </c>
      <c r="B1000" t="s">
        <v>10</v>
      </c>
      <c r="C1000" t="s">
        <v>21</v>
      </c>
      <c r="D1000" t="s">
        <v>32</v>
      </c>
      <c r="E1000">
        <v>18</v>
      </c>
      <c r="F1000">
        <v>1264</v>
      </c>
      <c r="G1000" t="s">
        <v>40</v>
      </c>
      <c r="H1000">
        <v>22752</v>
      </c>
      <c r="I1000">
        <v>19176.377023784269</v>
      </c>
      <c r="J1000">
        <v>3575.6229762157268</v>
      </c>
    </row>
    <row r="1001" spans="1:10" x14ac:dyDescent="0.35">
      <c r="A1001" s="1">
        <v>45430</v>
      </c>
      <c r="B1001" t="s">
        <v>13</v>
      </c>
      <c r="C1001" t="s">
        <v>21</v>
      </c>
      <c r="D1001" t="s">
        <v>34</v>
      </c>
      <c r="E1001">
        <v>18</v>
      </c>
      <c r="F1001">
        <v>1269</v>
      </c>
      <c r="G1001" t="s">
        <v>40</v>
      </c>
      <c r="H1001">
        <v>22842</v>
      </c>
      <c r="I1001">
        <v>17996.400846357272</v>
      </c>
      <c r="J1001">
        <v>4845.5991536427318</v>
      </c>
    </row>
    <row r="1002" spans="1:10" x14ac:dyDescent="0.35">
      <c r="A1002" s="1">
        <v>45647</v>
      </c>
      <c r="B1002" t="s">
        <v>13</v>
      </c>
      <c r="C1002" t="s">
        <v>17</v>
      </c>
      <c r="D1002" t="s">
        <v>30</v>
      </c>
      <c r="E1002">
        <v>17</v>
      </c>
      <c r="F1002">
        <v>1548</v>
      </c>
      <c r="G1002" t="s">
        <v>38</v>
      </c>
      <c r="H1002">
        <v>26316</v>
      </c>
      <c r="I1002">
        <v>21304.987981075301</v>
      </c>
      <c r="J1002">
        <v>5011.0120189246954</v>
      </c>
    </row>
    <row r="1003" spans="1:10" x14ac:dyDescent="0.35">
      <c r="A1003" s="1">
        <v>45624</v>
      </c>
      <c r="B1003" t="s">
        <v>10</v>
      </c>
      <c r="C1003" t="s">
        <v>22</v>
      </c>
      <c r="D1003" t="s">
        <v>32</v>
      </c>
      <c r="E1003">
        <v>12</v>
      </c>
      <c r="F1003">
        <v>413</v>
      </c>
      <c r="G1003" t="s">
        <v>40</v>
      </c>
      <c r="H1003">
        <v>4956</v>
      </c>
      <c r="I1003">
        <v>3528.0746561448382</v>
      </c>
      <c r="J1003">
        <v>1427.9253438551621</v>
      </c>
    </row>
    <row r="1004" spans="1:10" x14ac:dyDescent="0.35">
      <c r="A1004" s="1">
        <v>45550</v>
      </c>
      <c r="B1004" t="s">
        <v>13</v>
      </c>
      <c r="D1004" t="s">
        <v>30</v>
      </c>
      <c r="E1004">
        <v>4</v>
      </c>
      <c r="F1004">
        <v>283</v>
      </c>
      <c r="G1004" t="s">
        <v>40</v>
      </c>
      <c r="H1004">
        <v>1132</v>
      </c>
      <c r="I1004">
        <v>842.03712566801698</v>
      </c>
      <c r="J1004">
        <v>289.96287433198302</v>
      </c>
    </row>
    <row r="1005" spans="1:10" x14ac:dyDescent="0.35">
      <c r="A1005" s="1">
        <v>45452</v>
      </c>
      <c r="B1005" t="s">
        <v>10</v>
      </c>
      <c r="C1005" t="s">
        <v>18</v>
      </c>
      <c r="D1005" t="s">
        <v>35</v>
      </c>
      <c r="E1005">
        <v>12</v>
      </c>
      <c r="F1005">
        <v>1787</v>
      </c>
      <c r="G1005" t="s">
        <v>39</v>
      </c>
      <c r="H1005">
        <v>21444</v>
      </c>
      <c r="I1005">
        <v>14133.9661182657</v>
      </c>
      <c r="J1005">
        <v>7310.0338817342981</v>
      </c>
    </row>
    <row r="1006" spans="1:10" x14ac:dyDescent="0.35">
      <c r="A1006" s="1">
        <v>45469</v>
      </c>
      <c r="B1006" t="s">
        <v>13</v>
      </c>
      <c r="C1006" t="s">
        <v>23</v>
      </c>
      <c r="D1006" t="s">
        <v>31</v>
      </c>
      <c r="E1006">
        <v>15</v>
      </c>
      <c r="F1006">
        <v>812</v>
      </c>
      <c r="G1006" t="s">
        <v>39</v>
      </c>
      <c r="H1006">
        <v>12180</v>
      </c>
      <c r="I1006">
        <v>9793.6206770124045</v>
      </c>
      <c r="J1006">
        <v>2386.379322987596</v>
      </c>
    </row>
    <row r="1007" spans="1:10" x14ac:dyDescent="0.35">
      <c r="A1007" s="1">
        <v>45301</v>
      </c>
      <c r="B1007" t="s">
        <v>11</v>
      </c>
      <c r="C1007" t="s">
        <v>23</v>
      </c>
      <c r="D1007" t="s">
        <v>32</v>
      </c>
      <c r="E1007">
        <v>16</v>
      </c>
      <c r="F1007">
        <v>227</v>
      </c>
      <c r="G1007" t="s">
        <v>39</v>
      </c>
      <c r="H1007">
        <v>3632</v>
      </c>
      <c r="I1007">
        <v>2420.4940342889431</v>
      </c>
      <c r="J1007">
        <v>1211.5059657110569</v>
      </c>
    </row>
    <row r="1008" spans="1:10" x14ac:dyDescent="0.35">
      <c r="A1008" s="1">
        <v>45552</v>
      </c>
      <c r="B1008" t="s">
        <v>12</v>
      </c>
      <c r="C1008" t="s">
        <v>21</v>
      </c>
      <c r="D1008" t="s">
        <v>36</v>
      </c>
      <c r="E1008">
        <v>5</v>
      </c>
      <c r="F1008">
        <v>1410</v>
      </c>
      <c r="G1008" t="s">
        <v>40</v>
      </c>
      <c r="H1008">
        <v>7050</v>
      </c>
      <c r="I1008">
        <v>4232.6581222579098</v>
      </c>
      <c r="J1008">
        <v>2817.3418777420902</v>
      </c>
    </row>
    <row r="1009" spans="1:10" x14ac:dyDescent="0.35">
      <c r="A1009" s="1">
        <v>45429</v>
      </c>
      <c r="B1009" t="s">
        <v>11</v>
      </c>
      <c r="C1009" t="s">
        <v>17</v>
      </c>
      <c r="D1009" t="s">
        <v>37</v>
      </c>
      <c r="E1009">
        <v>15</v>
      </c>
      <c r="F1009">
        <v>1946</v>
      </c>
      <c r="G1009" t="s">
        <v>38</v>
      </c>
      <c r="H1009">
        <v>29190</v>
      </c>
      <c r="I1009">
        <v>25690.954883147719</v>
      </c>
      <c r="J1009">
        <v>3499.0451168522782</v>
      </c>
    </row>
    <row r="1010" spans="1:10" x14ac:dyDescent="0.35">
      <c r="A1010" s="1">
        <v>45463</v>
      </c>
      <c r="B1010" t="s">
        <v>12</v>
      </c>
      <c r="C1010" t="s">
        <v>17</v>
      </c>
      <c r="D1010" t="s">
        <v>30</v>
      </c>
      <c r="E1010">
        <v>17</v>
      </c>
      <c r="F1010">
        <v>1376</v>
      </c>
      <c r="G1010" t="s">
        <v>38</v>
      </c>
      <c r="H1010">
        <v>23392</v>
      </c>
      <c r="I1010">
        <v>16182.69255674725</v>
      </c>
      <c r="J1010">
        <v>7209.3074432527483</v>
      </c>
    </row>
    <row r="1011" spans="1:10" x14ac:dyDescent="0.35">
      <c r="A1011" s="1">
        <v>45304</v>
      </c>
      <c r="B1011" t="s">
        <v>12</v>
      </c>
      <c r="C1011" t="s">
        <v>20</v>
      </c>
      <c r="D1011" t="s">
        <v>30</v>
      </c>
      <c r="E1011">
        <v>18</v>
      </c>
      <c r="F1011">
        <v>1901</v>
      </c>
      <c r="G1011" t="s">
        <v>38</v>
      </c>
      <c r="H1011">
        <v>34218</v>
      </c>
      <c r="I1011">
        <v>22549.306568730499</v>
      </c>
      <c r="J1011">
        <v>11668.693431269499</v>
      </c>
    </row>
    <row r="1012" spans="1:10" x14ac:dyDescent="0.35">
      <c r="A1012" s="1">
        <v>45459</v>
      </c>
      <c r="B1012" t="s">
        <v>12</v>
      </c>
      <c r="C1012" t="s">
        <v>24</v>
      </c>
      <c r="D1012" t="s">
        <v>33</v>
      </c>
      <c r="E1012">
        <v>5</v>
      </c>
      <c r="F1012">
        <v>799</v>
      </c>
      <c r="G1012" t="s">
        <v>40</v>
      </c>
      <c r="H1012">
        <v>3995</v>
      </c>
      <c r="I1012">
        <v>2718.3738570624819</v>
      </c>
      <c r="J1012">
        <v>1276.6261429375179</v>
      </c>
    </row>
    <row r="1013" spans="1:10" x14ac:dyDescent="0.35">
      <c r="A1013" s="1">
        <v>45421</v>
      </c>
      <c r="B1013" t="s">
        <v>13</v>
      </c>
      <c r="C1013" t="s">
        <v>18</v>
      </c>
      <c r="D1013" t="s">
        <v>34</v>
      </c>
      <c r="E1013">
        <v>13</v>
      </c>
      <c r="F1013">
        <v>485</v>
      </c>
      <c r="G1013" t="s">
        <v>39</v>
      </c>
      <c r="H1013">
        <v>6305</v>
      </c>
      <c r="I1013">
        <v>4408.0418200456716</v>
      </c>
      <c r="J1013">
        <v>1896.958179954328</v>
      </c>
    </row>
    <row r="1014" spans="1:10" x14ac:dyDescent="0.35">
      <c r="A1014" s="1">
        <v>45375</v>
      </c>
      <c r="B1014" t="s">
        <v>11</v>
      </c>
      <c r="C1014" t="s">
        <v>24</v>
      </c>
      <c r="D1014" t="s">
        <v>33</v>
      </c>
      <c r="E1014">
        <v>19</v>
      </c>
      <c r="F1014">
        <v>1353</v>
      </c>
      <c r="G1014" t="s">
        <v>40</v>
      </c>
      <c r="H1014">
        <v>25707</v>
      </c>
      <c r="I1014">
        <v>19083.949495410961</v>
      </c>
      <c r="J1014">
        <v>6623.0505045890422</v>
      </c>
    </row>
    <row r="1015" spans="1:10" x14ac:dyDescent="0.35">
      <c r="A1015" s="1">
        <v>45612</v>
      </c>
      <c r="B1015" t="s">
        <v>12</v>
      </c>
      <c r="C1015" t="s">
        <v>21</v>
      </c>
      <c r="D1015" t="s">
        <v>32</v>
      </c>
      <c r="E1015">
        <v>13</v>
      </c>
      <c r="F1015">
        <v>370</v>
      </c>
      <c r="G1015" t="s">
        <v>40</v>
      </c>
      <c r="H1015">
        <v>4810</v>
      </c>
      <c r="I1015">
        <v>2986.0744612798348</v>
      </c>
      <c r="J1015">
        <v>1823.9255387201649</v>
      </c>
    </row>
    <row r="1016" spans="1:10" x14ac:dyDescent="0.35">
      <c r="A1016" s="1">
        <v>45610</v>
      </c>
      <c r="B1016" t="s">
        <v>10</v>
      </c>
      <c r="C1016" t="s">
        <v>23</v>
      </c>
      <c r="D1016" t="s">
        <v>33</v>
      </c>
      <c r="E1016">
        <v>18</v>
      </c>
      <c r="F1016">
        <v>1894</v>
      </c>
      <c r="G1016" t="s">
        <v>39</v>
      </c>
      <c r="H1016">
        <v>34092</v>
      </c>
      <c r="I1016">
        <v>20993.919972406871</v>
      </c>
      <c r="J1016">
        <v>13098.080027593131</v>
      </c>
    </row>
    <row r="1017" spans="1:10" x14ac:dyDescent="0.35">
      <c r="A1017" s="1">
        <v>45392</v>
      </c>
      <c r="B1017" t="s">
        <v>13</v>
      </c>
      <c r="C1017" t="s">
        <v>20</v>
      </c>
      <c r="D1017" t="s">
        <v>33</v>
      </c>
      <c r="E1017">
        <v>14</v>
      </c>
      <c r="F1017">
        <v>910</v>
      </c>
      <c r="G1017" t="s">
        <v>38</v>
      </c>
      <c r="H1017">
        <v>12740</v>
      </c>
      <c r="I1017">
        <v>8763.5049458865124</v>
      </c>
      <c r="J1017">
        <v>3976.4950541134881</v>
      </c>
    </row>
    <row r="1018" spans="1:10" x14ac:dyDescent="0.35">
      <c r="A1018" s="1">
        <v>45620</v>
      </c>
      <c r="B1018" t="s">
        <v>11</v>
      </c>
      <c r="C1018" t="s">
        <v>20</v>
      </c>
      <c r="D1018" t="s">
        <v>35</v>
      </c>
      <c r="E1018">
        <v>4</v>
      </c>
      <c r="F1018">
        <v>514</v>
      </c>
      <c r="G1018" t="s">
        <v>38</v>
      </c>
      <c r="H1018">
        <v>2056</v>
      </c>
      <c r="I1018">
        <v>1416.028549722369</v>
      </c>
      <c r="J1018">
        <v>639.97145027763122</v>
      </c>
    </row>
    <row r="1019" spans="1:10" x14ac:dyDescent="0.35">
      <c r="A1019" s="1">
        <v>45564</v>
      </c>
      <c r="B1019" t="s">
        <v>12</v>
      </c>
      <c r="C1019" t="s">
        <v>20</v>
      </c>
      <c r="D1019" t="s">
        <v>30</v>
      </c>
      <c r="E1019">
        <v>4</v>
      </c>
      <c r="F1019">
        <v>297</v>
      </c>
      <c r="G1019" t="s">
        <v>38</v>
      </c>
      <c r="H1019">
        <v>1188</v>
      </c>
      <c r="I1019">
        <v>754.72911559299337</v>
      </c>
      <c r="J1019">
        <v>433.27088440700658</v>
      </c>
    </row>
    <row r="1020" spans="1:10" x14ac:dyDescent="0.35">
      <c r="A1020" s="1">
        <v>45556</v>
      </c>
      <c r="B1020" t="s">
        <v>10</v>
      </c>
      <c r="C1020" t="s">
        <v>21</v>
      </c>
      <c r="D1020" t="s">
        <v>36</v>
      </c>
      <c r="E1020">
        <v>19</v>
      </c>
      <c r="F1020">
        <v>1446</v>
      </c>
      <c r="G1020" t="s">
        <v>40</v>
      </c>
      <c r="H1020">
        <v>27474</v>
      </c>
      <c r="I1020">
        <v>19820.773278708701</v>
      </c>
      <c r="J1020">
        <v>7653.2267212912957</v>
      </c>
    </row>
    <row r="1021" spans="1:10" x14ac:dyDescent="0.35">
      <c r="A1021" s="1">
        <v>45329</v>
      </c>
      <c r="B1021" t="s">
        <v>11</v>
      </c>
      <c r="C1021" t="s">
        <v>24</v>
      </c>
      <c r="D1021" t="s">
        <v>34</v>
      </c>
      <c r="E1021">
        <v>13</v>
      </c>
      <c r="F1021">
        <v>1179</v>
      </c>
      <c r="G1021" t="s">
        <v>40</v>
      </c>
      <c r="H1021">
        <v>15327</v>
      </c>
      <c r="I1021">
        <v>10502.19221926321</v>
      </c>
      <c r="J1021">
        <v>4824.8077807367881</v>
      </c>
    </row>
    <row r="1022" spans="1:10" x14ac:dyDescent="0.35">
      <c r="A1022" s="1">
        <v>45385</v>
      </c>
      <c r="B1022" t="s">
        <v>11</v>
      </c>
      <c r="C1022" t="s">
        <v>23</v>
      </c>
      <c r="D1022" t="s">
        <v>36</v>
      </c>
      <c r="E1022">
        <v>12</v>
      </c>
      <c r="F1022">
        <v>930</v>
      </c>
      <c r="G1022" t="s">
        <v>39</v>
      </c>
      <c r="H1022">
        <v>11160</v>
      </c>
      <c r="I1022">
        <v>6783.2339907578944</v>
      </c>
      <c r="J1022">
        <v>4376.7660092421056</v>
      </c>
    </row>
    <row r="1023" spans="1:10" x14ac:dyDescent="0.35">
      <c r="A1023" s="1">
        <v>45386</v>
      </c>
      <c r="B1023" t="s">
        <v>13</v>
      </c>
      <c r="C1023" t="s">
        <v>20</v>
      </c>
      <c r="D1023" t="s">
        <v>35</v>
      </c>
      <c r="E1023">
        <v>7</v>
      </c>
      <c r="F1023">
        <v>1326</v>
      </c>
      <c r="G1023" t="s">
        <v>38</v>
      </c>
      <c r="H1023">
        <v>9282</v>
      </c>
      <c r="I1023">
        <v>8035.5780851606251</v>
      </c>
      <c r="J1023">
        <v>1246.4219148393749</v>
      </c>
    </row>
    <row r="1024" spans="1:10" x14ac:dyDescent="0.35">
      <c r="A1024" s="1">
        <v>45596</v>
      </c>
      <c r="B1024" t="s">
        <v>11</v>
      </c>
      <c r="C1024" t="s">
        <v>23</v>
      </c>
      <c r="D1024" t="s">
        <v>35</v>
      </c>
      <c r="E1024">
        <v>12</v>
      </c>
      <c r="F1024">
        <v>1906</v>
      </c>
      <c r="G1024" t="s">
        <v>39</v>
      </c>
      <c r="H1024">
        <v>22872</v>
      </c>
      <c r="I1024">
        <v>19802.708094207901</v>
      </c>
      <c r="J1024">
        <v>3069.291905792099</v>
      </c>
    </row>
    <row r="1025" spans="1:10" x14ac:dyDescent="0.35">
      <c r="A1025" s="1">
        <v>45360</v>
      </c>
      <c r="B1025" t="s">
        <v>13</v>
      </c>
      <c r="C1025" t="s">
        <v>22</v>
      </c>
      <c r="D1025" t="s">
        <v>33</v>
      </c>
      <c r="E1025">
        <v>4</v>
      </c>
      <c r="F1025">
        <v>1744</v>
      </c>
      <c r="G1025" t="s">
        <v>40</v>
      </c>
      <c r="H1025">
        <v>6976</v>
      </c>
      <c r="I1025">
        <v>4623.3766188973186</v>
      </c>
      <c r="J1025">
        <v>2352.6233811026809</v>
      </c>
    </row>
    <row r="1026" spans="1:10" x14ac:dyDescent="0.35">
      <c r="A1026" s="1">
        <v>45609</v>
      </c>
      <c r="B1026" t="s">
        <v>12</v>
      </c>
      <c r="C1026" t="s">
        <v>17</v>
      </c>
      <c r="D1026" t="s">
        <v>31</v>
      </c>
      <c r="E1026">
        <v>2</v>
      </c>
      <c r="F1026">
        <v>727</v>
      </c>
      <c r="G1026" t="s">
        <v>38</v>
      </c>
      <c r="H1026">
        <v>1454</v>
      </c>
      <c r="I1026">
        <v>943.44486592528858</v>
      </c>
      <c r="J1026">
        <v>510.55513407471142</v>
      </c>
    </row>
    <row r="1027" spans="1:10" x14ac:dyDescent="0.35">
      <c r="A1027" s="1">
        <v>45527</v>
      </c>
      <c r="B1027" t="s">
        <v>13</v>
      </c>
      <c r="C1027" t="s">
        <v>17</v>
      </c>
      <c r="D1027" t="s">
        <v>30</v>
      </c>
      <c r="E1027">
        <v>2</v>
      </c>
      <c r="F1027">
        <v>703</v>
      </c>
      <c r="G1027" t="s">
        <v>38</v>
      </c>
      <c r="H1027">
        <v>1406</v>
      </c>
      <c r="I1027">
        <v>1074.4480880015569</v>
      </c>
      <c r="J1027">
        <v>331.5519119984433</v>
      </c>
    </row>
    <row r="1028" spans="1:10" x14ac:dyDescent="0.35">
      <c r="A1028" s="1">
        <v>45625</v>
      </c>
      <c r="B1028" t="s">
        <v>10</v>
      </c>
      <c r="C1028" t="s">
        <v>23</v>
      </c>
      <c r="D1028" t="s">
        <v>37</v>
      </c>
      <c r="E1028">
        <v>5</v>
      </c>
      <c r="F1028">
        <v>1261</v>
      </c>
      <c r="G1028" t="s">
        <v>39</v>
      </c>
      <c r="H1028">
        <v>6305</v>
      </c>
      <c r="I1028">
        <v>4976.0702508893764</v>
      </c>
      <c r="J1028">
        <v>1328.929749110624</v>
      </c>
    </row>
    <row r="1029" spans="1:10" x14ac:dyDescent="0.35">
      <c r="A1029" s="1">
        <v>45428</v>
      </c>
      <c r="B1029" t="s">
        <v>13</v>
      </c>
      <c r="C1029" t="s">
        <v>19</v>
      </c>
      <c r="D1029" t="s">
        <v>30</v>
      </c>
      <c r="E1029">
        <v>10</v>
      </c>
      <c r="F1029">
        <v>1545</v>
      </c>
      <c r="G1029" t="s">
        <v>40</v>
      </c>
      <c r="H1029">
        <v>15450</v>
      </c>
      <c r="I1029">
        <v>13708.20975376718</v>
      </c>
      <c r="J1029">
        <v>1741.790246232817</v>
      </c>
    </row>
    <row r="1030" spans="1:10" x14ac:dyDescent="0.35">
      <c r="A1030" s="1">
        <v>45367</v>
      </c>
      <c r="B1030" t="s">
        <v>10</v>
      </c>
      <c r="C1030" t="s">
        <v>19</v>
      </c>
      <c r="D1030" t="s">
        <v>37</v>
      </c>
      <c r="E1030">
        <v>10</v>
      </c>
      <c r="F1030">
        <v>1938</v>
      </c>
      <c r="G1030" t="s">
        <v>40</v>
      </c>
      <c r="H1030">
        <v>19380</v>
      </c>
      <c r="I1030">
        <v>13821.903926903869</v>
      </c>
      <c r="J1030">
        <v>5558.0960730961306</v>
      </c>
    </row>
    <row r="1031" spans="1:10" x14ac:dyDescent="0.35">
      <c r="A1031" s="1">
        <v>45326</v>
      </c>
      <c r="B1031" t="s">
        <v>13</v>
      </c>
      <c r="C1031" t="s">
        <v>21</v>
      </c>
      <c r="E1031">
        <v>9</v>
      </c>
      <c r="F1031">
        <v>0</v>
      </c>
      <c r="G1031" t="s">
        <v>40</v>
      </c>
      <c r="H1031">
        <v>0</v>
      </c>
      <c r="I1031">
        <v>0</v>
      </c>
      <c r="J1031">
        <v>0</v>
      </c>
    </row>
    <row r="1032" spans="1:10" x14ac:dyDescent="0.35">
      <c r="A1032" s="1">
        <v>45292</v>
      </c>
      <c r="B1032" t="s">
        <v>11</v>
      </c>
      <c r="C1032" t="s">
        <v>21</v>
      </c>
      <c r="D1032" t="s">
        <v>37</v>
      </c>
      <c r="E1032">
        <v>13</v>
      </c>
      <c r="F1032">
        <v>1685</v>
      </c>
      <c r="G1032" t="s">
        <v>40</v>
      </c>
      <c r="H1032">
        <v>21905</v>
      </c>
      <c r="I1032">
        <v>18913.96674250302</v>
      </c>
      <c r="J1032">
        <v>2991.0332574969798</v>
      </c>
    </row>
    <row r="1033" spans="1:10" x14ac:dyDescent="0.35">
      <c r="A1033" s="1">
        <v>45587</v>
      </c>
      <c r="B1033" t="s">
        <v>12</v>
      </c>
      <c r="C1033" t="s">
        <v>17</v>
      </c>
      <c r="D1033" t="s">
        <v>35</v>
      </c>
      <c r="E1033">
        <v>7</v>
      </c>
      <c r="F1033">
        <v>1109</v>
      </c>
      <c r="G1033" t="s">
        <v>38</v>
      </c>
      <c r="H1033">
        <v>7763</v>
      </c>
      <c r="I1033">
        <v>5705.6973717050214</v>
      </c>
      <c r="J1033">
        <v>2057.3026282949791</v>
      </c>
    </row>
    <row r="1034" spans="1:10" x14ac:dyDescent="0.35">
      <c r="A1034" s="1">
        <v>45611</v>
      </c>
      <c r="B1034" t="s">
        <v>10</v>
      </c>
      <c r="C1034" t="s">
        <v>22</v>
      </c>
      <c r="D1034" t="s">
        <v>36</v>
      </c>
      <c r="E1034">
        <v>5</v>
      </c>
      <c r="F1034">
        <v>170</v>
      </c>
      <c r="G1034" t="s">
        <v>40</v>
      </c>
      <c r="H1034">
        <v>850</v>
      </c>
      <c r="I1034">
        <v>541.19816654511806</v>
      </c>
      <c r="J1034">
        <v>308.80183345488189</v>
      </c>
    </row>
    <row r="1035" spans="1:10" x14ac:dyDescent="0.35">
      <c r="A1035" s="1">
        <v>45351</v>
      </c>
      <c r="B1035" t="s">
        <v>13</v>
      </c>
      <c r="C1035" t="s">
        <v>18</v>
      </c>
      <c r="D1035" t="s">
        <v>37</v>
      </c>
      <c r="E1035">
        <v>10</v>
      </c>
      <c r="F1035">
        <v>1010</v>
      </c>
      <c r="G1035" t="s">
        <v>39</v>
      </c>
      <c r="H1035">
        <v>10100</v>
      </c>
      <c r="I1035">
        <v>7203.6652760648212</v>
      </c>
      <c r="J1035">
        <v>2896.3347239351792</v>
      </c>
    </row>
    <row r="1036" spans="1:10" x14ac:dyDescent="0.35">
      <c r="A1036" s="1">
        <v>45611</v>
      </c>
      <c r="B1036" t="s">
        <v>13</v>
      </c>
      <c r="C1036" t="s">
        <v>24</v>
      </c>
      <c r="D1036" t="s">
        <v>30</v>
      </c>
      <c r="E1036">
        <v>10</v>
      </c>
      <c r="F1036">
        <v>693</v>
      </c>
      <c r="G1036" t="s">
        <v>40</v>
      </c>
      <c r="H1036">
        <v>6930</v>
      </c>
      <c r="I1036">
        <v>4441.9226406161624</v>
      </c>
      <c r="J1036">
        <v>2488.077359383838</v>
      </c>
    </row>
    <row r="1037" spans="1:10" x14ac:dyDescent="0.35">
      <c r="A1037" s="1">
        <v>45640</v>
      </c>
      <c r="B1037" t="s">
        <v>13</v>
      </c>
      <c r="C1037" t="s">
        <v>24</v>
      </c>
      <c r="D1037" t="s">
        <v>34</v>
      </c>
      <c r="E1037">
        <v>6</v>
      </c>
      <c r="F1037">
        <v>1495</v>
      </c>
      <c r="G1037" t="s">
        <v>40</v>
      </c>
      <c r="H1037">
        <v>8970</v>
      </c>
      <c r="I1037">
        <v>5426.7767981674479</v>
      </c>
      <c r="J1037">
        <v>3543.2232018325521</v>
      </c>
    </row>
    <row r="1038" spans="1:10" x14ac:dyDescent="0.35">
      <c r="A1038" s="1">
        <v>45619</v>
      </c>
      <c r="B1038" t="s">
        <v>11</v>
      </c>
      <c r="C1038" t="s">
        <v>21</v>
      </c>
      <c r="D1038" t="s">
        <v>33</v>
      </c>
      <c r="E1038">
        <v>19</v>
      </c>
      <c r="F1038">
        <v>1740</v>
      </c>
      <c r="G1038" t="s">
        <v>40</v>
      </c>
      <c r="H1038">
        <v>33060</v>
      </c>
      <c r="I1038">
        <v>27289.903212869642</v>
      </c>
      <c r="J1038">
        <v>5770.0967871303583</v>
      </c>
    </row>
    <row r="1039" spans="1:10" x14ac:dyDescent="0.35">
      <c r="A1039" s="1">
        <v>45558</v>
      </c>
      <c r="B1039" t="s">
        <v>11</v>
      </c>
      <c r="C1039" t="s">
        <v>22</v>
      </c>
      <c r="D1039" t="s">
        <v>31</v>
      </c>
      <c r="E1039">
        <v>8</v>
      </c>
      <c r="F1039">
        <v>699</v>
      </c>
      <c r="G1039" t="s">
        <v>40</v>
      </c>
      <c r="H1039">
        <v>5592</v>
      </c>
      <c r="I1039">
        <v>3755.1795999510091</v>
      </c>
      <c r="J1039">
        <v>1836.8204000489909</v>
      </c>
    </row>
    <row r="1040" spans="1:10" x14ac:dyDescent="0.35">
      <c r="A1040" s="1">
        <v>45652</v>
      </c>
      <c r="B1040" t="s">
        <v>10</v>
      </c>
      <c r="C1040" t="s">
        <v>21</v>
      </c>
      <c r="D1040" t="s">
        <v>33</v>
      </c>
      <c r="E1040">
        <v>1</v>
      </c>
      <c r="F1040">
        <v>613</v>
      </c>
      <c r="G1040" t="s">
        <v>40</v>
      </c>
      <c r="H1040">
        <v>613</v>
      </c>
      <c r="I1040">
        <v>368.16909572978727</v>
      </c>
      <c r="J1040">
        <v>244.8309042702127</v>
      </c>
    </row>
    <row r="1041" spans="1:10" x14ac:dyDescent="0.35">
      <c r="A1041" s="1">
        <v>45520</v>
      </c>
      <c r="B1041" t="s">
        <v>10</v>
      </c>
      <c r="C1041" t="s">
        <v>18</v>
      </c>
      <c r="D1041" t="s">
        <v>32</v>
      </c>
      <c r="E1041">
        <v>17</v>
      </c>
      <c r="F1041">
        <v>1995</v>
      </c>
      <c r="G1041" t="s">
        <v>39</v>
      </c>
      <c r="H1041">
        <v>33915</v>
      </c>
      <c r="I1041">
        <v>29225.563021741331</v>
      </c>
      <c r="J1041">
        <v>4689.4369782586646</v>
      </c>
    </row>
    <row r="1042" spans="1:10" x14ac:dyDescent="0.35">
      <c r="A1042" s="1">
        <v>45561</v>
      </c>
      <c r="B1042" t="s">
        <v>11</v>
      </c>
      <c r="C1042" t="s">
        <v>24</v>
      </c>
      <c r="D1042" t="s">
        <v>33</v>
      </c>
      <c r="E1042">
        <v>7</v>
      </c>
      <c r="F1042">
        <v>183</v>
      </c>
      <c r="G1042" t="s">
        <v>40</v>
      </c>
      <c r="H1042">
        <v>1281</v>
      </c>
      <c r="I1042">
        <v>939.14805063205506</v>
      </c>
      <c r="J1042">
        <v>341.85194936794488</v>
      </c>
    </row>
    <row r="1043" spans="1:10" x14ac:dyDescent="0.35">
      <c r="A1043" s="1">
        <v>45607</v>
      </c>
      <c r="B1043" t="s">
        <v>10</v>
      </c>
      <c r="C1043" t="s">
        <v>23</v>
      </c>
      <c r="D1043" t="s">
        <v>35</v>
      </c>
      <c r="E1043">
        <v>14</v>
      </c>
      <c r="F1043">
        <v>1093</v>
      </c>
      <c r="G1043" t="s">
        <v>39</v>
      </c>
      <c r="H1043">
        <v>15302</v>
      </c>
      <c r="I1043">
        <v>10277.710163444281</v>
      </c>
      <c r="J1043">
        <v>5024.2898365557157</v>
      </c>
    </row>
    <row r="1044" spans="1:10" x14ac:dyDescent="0.35">
      <c r="A1044" s="1">
        <v>45577</v>
      </c>
      <c r="B1044" t="s">
        <v>12</v>
      </c>
      <c r="C1044" t="s">
        <v>21</v>
      </c>
      <c r="D1044" t="s">
        <v>36</v>
      </c>
      <c r="E1044">
        <v>17</v>
      </c>
      <c r="F1044">
        <v>1166</v>
      </c>
      <c r="G1044" t="s">
        <v>40</v>
      </c>
      <c r="H1044">
        <v>19822</v>
      </c>
      <c r="I1044">
        <v>13455.906849608729</v>
      </c>
      <c r="J1044">
        <v>6366.0931503912652</v>
      </c>
    </row>
    <row r="1045" spans="1:10" x14ac:dyDescent="0.35">
      <c r="A1045" s="1">
        <v>45582</v>
      </c>
      <c r="B1045" t="s">
        <v>12</v>
      </c>
      <c r="D1045" t="s">
        <v>36</v>
      </c>
      <c r="E1045">
        <v>9</v>
      </c>
      <c r="F1045">
        <v>1789</v>
      </c>
      <c r="G1045" t="s">
        <v>38</v>
      </c>
      <c r="H1045">
        <v>16101</v>
      </c>
      <c r="I1045">
        <v>10822.47018603138</v>
      </c>
      <c r="J1045">
        <v>5278.5298139686174</v>
      </c>
    </row>
    <row r="1046" spans="1:10" x14ac:dyDescent="0.35">
      <c r="A1046" s="1">
        <v>45504</v>
      </c>
      <c r="B1046" t="s">
        <v>11</v>
      </c>
      <c r="C1046" t="s">
        <v>23</v>
      </c>
      <c r="D1046" t="s">
        <v>34</v>
      </c>
      <c r="E1046">
        <v>17</v>
      </c>
      <c r="F1046">
        <v>938</v>
      </c>
      <c r="G1046" t="s">
        <v>39</v>
      </c>
      <c r="H1046">
        <v>15946</v>
      </c>
      <c r="I1046">
        <v>10498.317763897239</v>
      </c>
      <c r="J1046">
        <v>5447.6822361027607</v>
      </c>
    </row>
    <row r="1047" spans="1:10" x14ac:dyDescent="0.35">
      <c r="A1047" s="1">
        <v>45456</v>
      </c>
      <c r="B1047" t="s">
        <v>10</v>
      </c>
      <c r="C1047" t="s">
        <v>18</v>
      </c>
      <c r="D1047" t="s">
        <v>37</v>
      </c>
      <c r="E1047">
        <v>5</v>
      </c>
      <c r="F1047">
        <v>705</v>
      </c>
      <c r="G1047" t="s">
        <v>39</v>
      </c>
      <c r="H1047">
        <v>3525</v>
      </c>
      <c r="I1047">
        <v>3004.5967324873191</v>
      </c>
      <c r="J1047">
        <v>520.4032675126814</v>
      </c>
    </row>
    <row r="1048" spans="1:10" x14ac:dyDescent="0.35">
      <c r="A1048" s="1">
        <v>45296</v>
      </c>
      <c r="B1048" t="s">
        <v>13</v>
      </c>
      <c r="C1048" t="s">
        <v>18</v>
      </c>
      <c r="D1048" t="s">
        <v>35</v>
      </c>
      <c r="E1048">
        <v>8</v>
      </c>
      <c r="F1048">
        <v>909</v>
      </c>
      <c r="G1048" t="s">
        <v>39</v>
      </c>
      <c r="H1048">
        <v>7272</v>
      </c>
      <c r="I1048">
        <v>4734.7954935413072</v>
      </c>
      <c r="J1048">
        <v>2537.2045064586928</v>
      </c>
    </row>
    <row r="1049" spans="1:10" x14ac:dyDescent="0.35">
      <c r="A1049" s="1">
        <v>45630</v>
      </c>
      <c r="B1049" t="s">
        <v>12</v>
      </c>
      <c r="C1049" t="s">
        <v>21</v>
      </c>
      <c r="D1049" t="s">
        <v>32</v>
      </c>
      <c r="E1049">
        <v>6</v>
      </c>
      <c r="F1049">
        <v>232</v>
      </c>
      <c r="G1049" t="s">
        <v>40</v>
      </c>
      <c r="H1049">
        <v>1392</v>
      </c>
      <c r="I1049">
        <v>1069.830515988037</v>
      </c>
      <c r="J1049">
        <v>322.16948401196299</v>
      </c>
    </row>
    <row r="1050" spans="1:10" x14ac:dyDescent="0.35">
      <c r="A1050" s="1">
        <v>45369</v>
      </c>
      <c r="B1050" t="s">
        <v>11</v>
      </c>
      <c r="C1050" t="s">
        <v>17</v>
      </c>
      <c r="D1050" t="s">
        <v>35</v>
      </c>
      <c r="E1050">
        <v>11</v>
      </c>
      <c r="F1050">
        <v>1518</v>
      </c>
      <c r="G1050" t="s">
        <v>38</v>
      </c>
      <c r="H1050">
        <v>16698</v>
      </c>
      <c r="I1050">
        <v>10406.128033660851</v>
      </c>
      <c r="J1050">
        <v>6291.8719663391457</v>
      </c>
    </row>
    <row r="1051" spans="1:10" x14ac:dyDescent="0.35">
      <c r="A1051" s="1">
        <v>45353</v>
      </c>
      <c r="B1051" t="s">
        <v>10</v>
      </c>
      <c r="C1051" t="s">
        <v>21</v>
      </c>
      <c r="D1051" t="s">
        <v>33</v>
      </c>
      <c r="E1051">
        <v>19</v>
      </c>
      <c r="G1051" t="s">
        <v>40</v>
      </c>
    </row>
    <row r="1052" spans="1:10" x14ac:dyDescent="0.35">
      <c r="A1052" s="1">
        <v>45423</v>
      </c>
      <c r="B1052" t="s">
        <v>11</v>
      </c>
      <c r="C1052" t="s">
        <v>17</v>
      </c>
      <c r="D1052" t="s">
        <v>35</v>
      </c>
      <c r="E1052">
        <v>4</v>
      </c>
      <c r="F1052">
        <v>389</v>
      </c>
      <c r="G1052" t="s">
        <v>38</v>
      </c>
      <c r="H1052">
        <v>1556</v>
      </c>
      <c r="I1052">
        <v>1215.226930595356</v>
      </c>
      <c r="J1052">
        <v>340.77306940464359</v>
      </c>
    </row>
    <row r="1053" spans="1:10" x14ac:dyDescent="0.35">
      <c r="A1053" s="1">
        <v>45380</v>
      </c>
      <c r="B1053" t="s">
        <v>13</v>
      </c>
      <c r="C1053" t="s">
        <v>18</v>
      </c>
      <c r="D1053" t="s">
        <v>35</v>
      </c>
      <c r="E1053">
        <v>18</v>
      </c>
      <c r="F1053">
        <v>475</v>
      </c>
      <c r="G1053" t="s">
        <v>39</v>
      </c>
      <c r="H1053">
        <v>8550</v>
      </c>
      <c r="I1053">
        <v>7446.5861912338814</v>
      </c>
      <c r="J1053">
        <v>1103.413808766119</v>
      </c>
    </row>
    <row r="1054" spans="1:10" x14ac:dyDescent="0.35">
      <c r="A1054" s="1">
        <v>45528</v>
      </c>
      <c r="B1054" t="s">
        <v>12</v>
      </c>
      <c r="C1054" t="s">
        <v>22</v>
      </c>
      <c r="D1054" t="s">
        <v>34</v>
      </c>
      <c r="E1054">
        <v>1</v>
      </c>
      <c r="F1054">
        <v>868</v>
      </c>
      <c r="G1054" t="s">
        <v>40</v>
      </c>
      <c r="H1054">
        <v>868</v>
      </c>
      <c r="I1054">
        <v>624.40737377541905</v>
      </c>
      <c r="J1054">
        <v>243.59262622458101</v>
      </c>
    </row>
    <row r="1055" spans="1:10" x14ac:dyDescent="0.35">
      <c r="A1055" s="1">
        <v>45333</v>
      </c>
      <c r="B1055" t="s">
        <v>11</v>
      </c>
      <c r="C1055" t="s">
        <v>18</v>
      </c>
      <c r="D1055" t="s">
        <v>32</v>
      </c>
      <c r="E1055">
        <v>13</v>
      </c>
      <c r="F1055">
        <v>566</v>
      </c>
      <c r="G1055" t="s">
        <v>39</v>
      </c>
      <c r="H1055">
        <v>7358</v>
      </c>
      <c r="I1055">
        <v>6204.2774980973472</v>
      </c>
      <c r="J1055">
        <v>1153.722501902653</v>
      </c>
    </row>
    <row r="1056" spans="1:10" x14ac:dyDescent="0.35">
      <c r="A1056" s="1">
        <v>45380</v>
      </c>
      <c r="B1056" t="s">
        <v>11</v>
      </c>
      <c r="C1056" t="s">
        <v>24</v>
      </c>
      <c r="D1056" t="s">
        <v>33</v>
      </c>
      <c r="E1056">
        <v>14</v>
      </c>
      <c r="F1056">
        <v>1336</v>
      </c>
      <c r="G1056" t="s">
        <v>40</v>
      </c>
      <c r="H1056">
        <v>18704</v>
      </c>
      <c r="I1056">
        <v>16012.426015085981</v>
      </c>
      <c r="J1056">
        <v>2691.573984914025</v>
      </c>
    </row>
    <row r="1057" spans="1:10" x14ac:dyDescent="0.35">
      <c r="A1057" s="1">
        <v>45587</v>
      </c>
      <c r="B1057" t="s">
        <v>11</v>
      </c>
      <c r="C1057" t="s">
        <v>23</v>
      </c>
      <c r="D1057" t="s">
        <v>31</v>
      </c>
      <c r="E1057">
        <v>1</v>
      </c>
      <c r="F1057">
        <v>1271</v>
      </c>
      <c r="G1057" t="s">
        <v>39</v>
      </c>
      <c r="H1057">
        <v>1271</v>
      </c>
      <c r="I1057">
        <v>1030.634564726427</v>
      </c>
      <c r="J1057">
        <v>240.36543527357321</v>
      </c>
    </row>
    <row r="1058" spans="1:10" x14ac:dyDescent="0.35">
      <c r="A1058" s="1">
        <v>45619</v>
      </c>
      <c r="B1058" t="s">
        <v>13</v>
      </c>
      <c r="C1058" t="s">
        <v>23</v>
      </c>
      <c r="D1058" t="s">
        <v>34</v>
      </c>
      <c r="E1058">
        <v>11</v>
      </c>
      <c r="F1058">
        <v>1696</v>
      </c>
      <c r="G1058" t="s">
        <v>39</v>
      </c>
      <c r="H1058">
        <v>18656</v>
      </c>
      <c r="I1058">
        <v>11713.8083802481</v>
      </c>
      <c r="J1058">
        <v>6942.1916197518967</v>
      </c>
    </row>
    <row r="1059" spans="1:10" x14ac:dyDescent="0.35">
      <c r="A1059" s="1">
        <v>45586</v>
      </c>
      <c r="B1059" t="s">
        <v>11</v>
      </c>
      <c r="C1059" t="s">
        <v>19</v>
      </c>
      <c r="D1059" t="s">
        <v>31</v>
      </c>
      <c r="E1059">
        <v>17</v>
      </c>
      <c r="F1059">
        <v>570</v>
      </c>
      <c r="G1059" t="s">
        <v>40</v>
      </c>
      <c r="H1059">
        <v>9690</v>
      </c>
      <c r="I1059">
        <v>5860.7448111819695</v>
      </c>
      <c r="J1059">
        <v>3829.255188818031</v>
      </c>
    </row>
    <row r="1060" spans="1:10" x14ac:dyDescent="0.35">
      <c r="A1060" s="1">
        <v>45395</v>
      </c>
      <c r="B1060" t="s">
        <v>13</v>
      </c>
      <c r="C1060" t="s">
        <v>19</v>
      </c>
      <c r="D1060" t="s">
        <v>34</v>
      </c>
      <c r="E1060">
        <v>4</v>
      </c>
      <c r="F1060">
        <v>248</v>
      </c>
      <c r="G1060" t="s">
        <v>40</v>
      </c>
      <c r="H1060">
        <v>992</v>
      </c>
      <c r="I1060">
        <v>645.36335840393156</v>
      </c>
      <c r="J1060">
        <v>346.63664159606839</v>
      </c>
    </row>
    <row r="1061" spans="1:10" x14ac:dyDescent="0.35">
      <c r="A1061" s="1">
        <v>45305</v>
      </c>
      <c r="B1061" t="s">
        <v>13</v>
      </c>
      <c r="C1061" t="s">
        <v>18</v>
      </c>
      <c r="D1061" t="s">
        <v>36</v>
      </c>
      <c r="E1061">
        <v>12</v>
      </c>
      <c r="F1061">
        <v>187</v>
      </c>
      <c r="G1061" t="s">
        <v>39</v>
      </c>
      <c r="H1061">
        <v>2244</v>
      </c>
      <c r="I1061">
        <v>1425.902736789968</v>
      </c>
      <c r="J1061">
        <v>818.09726321003222</v>
      </c>
    </row>
    <row r="1062" spans="1:10" x14ac:dyDescent="0.35">
      <c r="A1062" s="1">
        <v>45579</v>
      </c>
      <c r="B1062" t="s">
        <v>13</v>
      </c>
      <c r="C1062" t="s">
        <v>24</v>
      </c>
      <c r="D1062" t="s">
        <v>30</v>
      </c>
      <c r="E1062">
        <v>10</v>
      </c>
      <c r="F1062">
        <v>1447</v>
      </c>
      <c r="G1062" t="s">
        <v>40</v>
      </c>
      <c r="H1062">
        <v>14470</v>
      </c>
      <c r="I1062">
        <v>11829.82260029152</v>
      </c>
      <c r="J1062">
        <v>2640.1773997084779</v>
      </c>
    </row>
    <row r="1063" spans="1:10" x14ac:dyDescent="0.35">
      <c r="A1063" s="1">
        <v>45470</v>
      </c>
      <c r="B1063" t="s">
        <v>12</v>
      </c>
      <c r="C1063" t="s">
        <v>19</v>
      </c>
      <c r="D1063" t="s">
        <v>34</v>
      </c>
      <c r="E1063">
        <v>6</v>
      </c>
      <c r="F1063">
        <v>495</v>
      </c>
      <c r="G1063" t="s">
        <v>40</v>
      </c>
      <c r="H1063">
        <v>2970</v>
      </c>
      <c r="I1063">
        <v>2278.2930772342038</v>
      </c>
      <c r="J1063">
        <v>691.70692276579575</v>
      </c>
    </row>
    <row r="1064" spans="1:10" x14ac:dyDescent="0.35">
      <c r="A1064" s="1">
        <v>45416</v>
      </c>
      <c r="B1064" t="s">
        <v>12</v>
      </c>
      <c r="C1064" t="s">
        <v>23</v>
      </c>
      <c r="D1064" t="s">
        <v>37</v>
      </c>
      <c r="E1064">
        <v>1</v>
      </c>
      <c r="F1064">
        <v>889</v>
      </c>
      <c r="G1064" t="s">
        <v>39</v>
      </c>
      <c r="H1064">
        <v>889</v>
      </c>
      <c r="I1064">
        <v>673.67109557431309</v>
      </c>
      <c r="J1064">
        <v>215.32890442568689</v>
      </c>
    </row>
    <row r="1065" spans="1:10" x14ac:dyDescent="0.35">
      <c r="A1065" s="1">
        <v>45644</v>
      </c>
      <c r="B1065" t="s">
        <v>11</v>
      </c>
      <c r="C1065" t="s">
        <v>21</v>
      </c>
      <c r="D1065" t="s">
        <v>35</v>
      </c>
      <c r="E1065">
        <v>7</v>
      </c>
      <c r="F1065">
        <v>1527</v>
      </c>
      <c r="G1065" t="s">
        <v>40</v>
      </c>
      <c r="H1065">
        <v>10689</v>
      </c>
      <c r="I1065">
        <v>7224.2695719622479</v>
      </c>
      <c r="J1065">
        <v>3464.7304280377521</v>
      </c>
    </row>
    <row r="1066" spans="1:10" x14ac:dyDescent="0.35">
      <c r="A1066" s="1">
        <v>45314</v>
      </c>
      <c r="B1066" t="s">
        <v>50</v>
      </c>
      <c r="C1066" t="s">
        <v>22</v>
      </c>
      <c r="D1066" t="s">
        <v>36</v>
      </c>
      <c r="E1066">
        <v>16</v>
      </c>
      <c r="F1066">
        <v>1205</v>
      </c>
      <c r="G1066" t="s">
        <v>40</v>
      </c>
      <c r="H1066">
        <v>19280</v>
      </c>
      <c r="I1066">
        <v>12462.24999248705</v>
      </c>
      <c r="J1066">
        <v>6817.7500075129501</v>
      </c>
    </row>
    <row r="1067" spans="1:10" x14ac:dyDescent="0.35">
      <c r="A1067" s="1">
        <v>45354</v>
      </c>
      <c r="B1067" t="s">
        <v>12</v>
      </c>
      <c r="C1067" t="s">
        <v>22</v>
      </c>
      <c r="D1067" t="s">
        <v>32</v>
      </c>
      <c r="E1067">
        <v>14</v>
      </c>
      <c r="F1067">
        <v>1764</v>
      </c>
      <c r="G1067" t="s">
        <v>40</v>
      </c>
      <c r="H1067">
        <v>24696</v>
      </c>
      <c r="I1067">
        <v>16347.872598423801</v>
      </c>
      <c r="J1067">
        <v>8348.1274015762046</v>
      </c>
    </row>
    <row r="1068" spans="1:10" x14ac:dyDescent="0.35">
      <c r="A1068" s="1">
        <v>45434</v>
      </c>
      <c r="B1068" t="s">
        <v>10</v>
      </c>
      <c r="C1068" t="s">
        <v>24</v>
      </c>
      <c r="D1068" t="s">
        <v>31</v>
      </c>
      <c r="E1068">
        <v>6</v>
      </c>
      <c r="G1068" t="s">
        <v>40</v>
      </c>
    </row>
    <row r="1069" spans="1:10" x14ac:dyDescent="0.35">
      <c r="A1069" s="1">
        <v>45444</v>
      </c>
      <c r="B1069" t="s">
        <v>12</v>
      </c>
      <c r="C1069" t="s">
        <v>18</v>
      </c>
      <c r="D1069" t="s">
        <v>30</v>
      </c>
      <c r="E1069">
        <v>5</v>
      </c>
      <c r="F1069">
        <v>1505</v>
      </c>
      <c r="G1069" t="s">
        <v>39</v>
      </c>
      <c r="H1069">
        <v>7525</v>
      </c>
      <c r="I1069">
        <v>6185.8732892628514</v>
      </c>
      <c r="J1069">
        <v>1339.1267107371491</v>
      </c>
    </row>
    <row r="1070" spans="1:10" x14ac:dyDescent="0.35">
      <c r="A1070" s="1">
        <v>45436</v>
      </c>
      <c r="B1070" t="s">
        <v>13</v>
      </c>
      <c r="C1070" t="s">
        <v>19</v>
      </c>
      <c r="D1070" t="s">
        <v>30</v>
      </c>
      <c r="E1070">
        <v>18</v>
      </c>
      <c r="F1070">
        <v>964</v>
      </c>
      <c r="G1070" t="s">
        <v>40</v>
      </c>
      <c r="H1070">
        <v>17352</v>
      </c>
      <c r="I1070">
        <v>11736.111699042251</v>
      </c>
      <c r="J1070">
        <v>5615.888300957753</v>
      </c>
    </row>
    <row r="1071" spans="1:10" x14ac:dyDescent="0.35">
      <c r="A1071" s="1">
        <v>45516</v>
      </c>
      <c r="B1071" t="s">
        <v>12</v>
      </c>
      <c r="C1071" t="s">
        <v>21</v>
      </c>
      <c r="D1071" t="s">
        <v>34</v>
      </c>
      <c r="E1071">
        <v>15</v>
      </c>
      <c r="F1071">
        <v>1915</v>
      </c>
      <c r="G1071" t="s">
        <v>40</v>
      </c>
      <c r="H1071">
        <v>28725</v>
      </c>
      <c r="I1071">
        <v>23255.297538347018</v>
      </c>
      <c r="J1071">
        <v>5469.7024616529779</v>
      </c>
    </row>
    <row r="1072" spans="1:10" x14ac:dyDescent="0.35">
      <c r="A1072" s="1">
        <v>45600</v>
      </c>
      <c r="B1072" t="s">
        <v>13</v>
      </c>
      <c r="C1072" t="s">
        <v>22</v>
      </c>
      <c r="D1072" t="s">
        <v>35</v>
      </c>
      <c r="E1072">
        <v>6</v>
      </c>
      <c r="F1072">
        <v>1393</v>
      </c>
      <c r="G1072" t="s">
        <v>40</v>
      </c>
      <c r="H1072">
        <v>8358</v>
      </c>
      <c r="I1072">
        <v>6247.2167384831046</v>
      </c>
      <c r="J1072">
        <v>2110.783261516895</v>
      </c>
    </row>
    <row r="1073" spans="1:10" x14ac:dyDescent="0.35">
      <c r="A1073" s="1">
        <v>45395</v>
      </c>
      <c r="B1073" t="s">
        <v>11</v>
      </c>
      <c r="C1073" t="s">
        <v>22</v>
      </c>
      <c r="D1073" t="s">
        <v>32</v>
      </c>
      <c r="E1073">
        <v>19</v>
      </c>
      <c r="F1073">
        <v>1415</v>
      </c>
      <c r="G1073" t="s">
        <v>40</v>
      </c>
      <c r="H1073">
        <v>26885</v>
      </c>
      <c r="I1073">
        <v>23272.523163663798</v>
      </c>
      <c r="J1073">
        <v>3612.4768363361982</v>
      </c>
    </row>
    <row r="1074" spans="1:10" x14ac:dyDescent="0.35">
      <c r="A1074" s="1">
        <v>45395</v>
      </c>
      <c r="B1074" t="s">
        <v>10</v>
      </c>
      <c r="C1074" t="s">
        <v>20</v>
      </c>
      <c r="D1074" t="s">
        <v>37</v>
      </c>
      <c r="E1074">
        <v>1</v>
      </c>
      <c r="F1074">
        <v>1576</v>
      </c>
      <c r="G1074" t="s">
        <v>38</v>
      </c>
      <c r="H1074">
        <v>1576</v>
      </c>
      <c r="I1074">
        <v>1055.7220043883351</v>
      </c>
      <c r="J1074">
        <v>520.27799561166512</v>
      </c>
    </row>
    <row r="1075" spans="1:10" x14ac:dyDescent="0.35">
      <c r="A1075" s="1">
        <v>45330</v>
      </c>
      <c r="B1075" t="s">
        <v>11</v>
      </c>
      <c r="C1075" t="s">
        <v>18</v>
      </c>
      <c r="D1075" t="s">
        <v>32</v>
      </c>
      <c r="E1075">
        <v>1</v>
      </c>
      <c r="F1075">
        <v>1838</v>
      </c>
      <c r="G1075" t="s">
        <v>39</v>
      </c>
      <c r="H1075">
        <v>1838</v>
      </c>
      <c r="I1075">
        <v>1351.402374795349</v>
      </c>
      <c r="J1075">
        <v>486.59762520465051</v>
      </c>
    </row>
    <row r="1076" spans="1:10" x14ac:dyDescent="0.35">
      <c r="A1076" s="1">
        <v>45489</v>
      </c>
      <c r="B1076" t="s">
        <v>13</v>
      </c>
      <c r="C1076" t="s">
        <v>20</v>
      </c>
      <c r="D1076" t="s">
        <v>35</v>
      </c>
      <c r="E1076">
        <v>13</v>
      </c>
      <c r="F1076">
        <v>123</v>
      </c>
      <c r="G1076" t="s">
        <v>38</v>
      </c>
      <c r="H1076">
        <v>1599</v>
      </c>
      <c r="I1076">
        <v>1005.7700888093721</v>
      </c>
      <c r="J1076">
        <v>593.2299111906276</v>
      </c>
    </row>
    <row r="1077" spans="1:10" x14ac:dyDescent="0.35">
      <c r="A1077" s="1">
        <v>45425</v>
      </c>
      <c r="B1077" t="s">
        <v>13</v>
      </c>
      <c r="C1077" t="s">
        <v>23</v>
      </c>
      <c r="D1077" t="s">
        <v>37</v>
      </c>
      <c r="E1077">
        <v>3</v>
      </c>
      <c r="F1077">
        <v>1055</v>
      </c>
      <c r="G1077" t="s">
        <v>39</v>
      </c>
      <c r="H1077">
        <v>3165</v>
      </c>
      <c r="I1077">
        <v>2217.2279089198942</v>
      </c>
      <c r="J1077">
        <v>947.77209108010629</v>
      </c>
    </row>
    <row r="1078" spans="1:10" x14ac:dyDescent="0.35">
      <c r="A1078" s="1">
        <v>45358</v>
      </c>
      <c r="B1078" t="s">
        <v>13</v>
      </c>
      <c r="C1078" t="s">
        <v>22</v>
      </c>
      <c r="D1078" t="s">
        <v>32</v>
      </c>
      <c r="E1078">
        <v>10</v>
      </c>
      <c r="F1078">
        <v>1986</v>
      </c>
      <c r="G1078" t="s">
        <v>40</v>
      </c>
      <c r="H1078">
        <v>19860</v>
      </c>
      <c r="I1078">
        <v>14935.99368554387</v>
      </c>
      <c r="J1078">
        <v>4924.0063144561336</v>
      </c>
    </row>
    <row r="1079" spans="1:10" x14ac:dyDescent="0.35">
      <c r="A1079" s="1">
        <v>45470</v>
      </c>
      <c r="B1079" t="s">
        <v>10</v>
      </c>
      <c r="C1079" t="s">
        <v>24</v>
      </c>
      <c r="D1079" t="s">
        <v>37</v>
      </c>
      <c r="E1079">
        <v>3</v>
      </c>
      <c r="F1079">
        <v>410</v>
      </c>
      <c r="G1079" t="s">
        <v>40</v>
      </c>
      <c r="H1079">
        <v>1230</v>
      </c>
      <c r="I1079">
        <v>1008.381139089907</v>
      </c>
      <c r="J1079">
        <v>221.61886091009259</v>
      </c>
    </row>
    <row r="1080" spans="1:10" x14ac:dyDescent="0.35">
      <c r="A1080" s="1">
        <v>45333</v>
      </c>
      <c r="B1080" t="s">
        <v>12</v>
      </c>
      <c r="C1080" t="s">
        <v>17</v>
      </c>
      <c r="D1080" t="s">
        <v>34</v>
      </c>
      <c r="E1080">
        <v>9</v>
      </c>
      <c r="F1080">
        <v>1584</v>
      </c>
      <c r="G1080" t="s">
        <v>38</v>
      </c>
      <c r="H1080">
        <v>14256</v>
      </c>
      <c r="I1080">
        <v>9400.7362270667563</v>
      </c>
      <c r="J1080">
        <v>4855.2637729332437</v>
      </c>
    </row>
    <row r="1081" spans="1:10" x14ac:dyDescent="0.35">
      <c r="A1081" s="1">
        <v>45306</v>
      </c>
      <c r="B1081" t="s">
        <v>11</v>
      </c>
      <c r="C1081" t="s">
        <v>17</v>
      </c>
      <c r="D1081" t="s">
        <v>34</v>
      </c>
      <c r="E1081">
        <v>8</v>
      </c>
      <c r="F1081">
        <v>1331</v>
      </c>
      <c r="G1081" t="s">
        <v>38</v>
      </c>
      <c r="H1081">
        <v>10648</v>
      </c>
      <c r="I1081">
        <v>7085.4734949816147</v>
      </c>
      <c r="J1081">
        <v>3562.5265050183848</v>
      </c>
    </row>
    <row r="1082" spans="1:10" x14ac:dyDescent="0.35">
      <c r="A1082" s="1">
        <v>45402</v>
      </c>
      <c r="B1082" t="s">
        <v>11</v>
      </c>
      <c r="C1082" t="s">
        <v>21</v>
      </c>
      <c r="D1082" t="s">
        <v>35</v>
      </c>
      <c r="E1082">
        <v>3</v>
      </c>
      <c r="F1082">
        <v>1915</v>
      </c>
      <c r="G1082" t="s">
        <v>40</v>
      </c>
      <c r="H1082">
        <v>5745</v>
      </c>
      <c r="I1082">
        <v>4535.5244081380288</v>
      </c>
      <c r="J1082">
        <v>1209.475591861971</v>
      </c>
    </row>
    <row r="1083" spans="1:10" x14ac:dyDescent="0.35">
      <c r="A1083" s="1">
        <v>45448</v>
      </c>
      <c r="B1083" t="s">
        <v>12</v>
      </c>
      <c r="C1083" t="s">
        <v>22</v>
      </c>
      <c r="D1083" t="s">
        <v>35</v>
      </c>
      <c r="E1083">
        <v>13</v>
      </c>
      <c r="F1083">
        <v>1840</v>
      </c>
      <c r="G1083" t="s">
        <v>40</v>
      </c>
      <c r="H1083">
        <v>23920</v>
      </c>
      <c r="I1083">
        <v>17096.517054068139</v>
      </c>
      <c r="J1083">
        <v>6823.4829459318607</v>
      </c>
    </row>
    <row r="1084" spans="1:10" x14ac:dyDescent="0.35">
      <c r="A1084" s="1">
        <v>45580</v>
      </c>
      <c r="B1084" t="s">
        <v>11</v>
      </c>
      <c r="C1084" t="s">
        <v>22</v>
      </c>
      <c r="D1084" t="s">
        <v>37</v>
      </c>
      <c r="E1084">
        <v>6</v>
      </c>
      <c r="F1084">
        <v>763</v>
      </c>
      <c r="G1084" t="s">
        <v>40</v>
      </c>
      <c r="H1084">
        <v>4578</v>
      </c>
      <c r="I1084">
        <v>3408.9090906569072</v>
      </c>
      <c r="J1084">
        <v>1169.090909343093</v>
      </c>
    </row>
    <row r="1085" spans="1:10" x14ac:dyDescent="0.35">
      <c r="A1085" s="1">
        <v>45522</v>
      </c>
      <c r="B1085" t="s">
        <v>10</v>
      </c>
      <c r="C1085" t="s">
        <v>23</v>
      </c>
      <c r="D1085" t="s">
        <v>33</v>
      </c>
      <c r="E1085">
        <v>13</v>
      </c>
      <c r="F1085">
        <v>537</v>
      </c>
      <c r="G1085" t="s">
        <v>39</v>
      </c>
      <c r="H1085">
        <v>6981</v>
      </c>
      <c r="I1085">
        <v>5939.7172556833166</v>
      </c>
      <c r="J1085">
        <v>1041.282744316683</v>
      </c>
    </row>
    <row r="1086" spans="1:10" x14ac:dyDescent="0.35">
      <c r="A1086" s="1">
        <v>45448</v>
      </c>
      <c r="B1086" t="s">
        <v>11</v>
      </c>
      <c r="C1086" t="s">
        <v>22</v>
      </c>
      <c r="D1086" t="s">
        <v>36</v>
      </c>
      <c r="E1086">
        <v>12</v>
      </c>
      <c r="F1086">
        <v>1661</v>
      </c>
      <c r="G1086" t="s">
        <v>40</v>
      </c>
      <c r="H1086">
        <v>19932</v>
      </c>
      <c r="I1086">
        <v>14943.518507045441</v>
      </c>
      <c r="J1086">
        <v>4988.4814929545646</v>
      </c>
    </row>
    <row r="1087" spans="1:10" x14ac:dyDescent="0.35">
      <c r="A1087" s="1">
        <v>45329</v>
      </c>
      <c r="B1087" t="s">
        <v>13</v>
      </c>
      <c r="C1087" t="s">
        <v>24</v>
      </c>
      <c r="D1087" t="s">
        <v>30</v>
      </c>
      <c r="E1087">
        <v>13</v>
      </c>
      <c r="F1087">
        <v>805</v>
      </c>
      <c r="G1087" t="s">
        <v>40</v>
      </c>
      <c r="H1087">
        <v>10465</v>
      </c>
      <c r="I1087">
        <v>8327.5218054224933</v>
      </c>
      <c r="J1087">
        <v>2137.4781945775071</v>
      </c>
    </row>
    <row r="1088" spans="1:10" x14ac:dyDescent="0.35">
      <c r="A1088" s="1">
        <v>45388</v>
      </c>
      <c r="B1088" t="s">
        <v>12</v>
      </c>
      <c r="C1088" t="s">
        <v>20</v>
      </c>
      <c r="D1088" t="s">
        <v>32</v>
      </c>
      <c r="E1088">
        <v>2</v>
      </c>
      <c r="F1088">
        <v>1459</v>
      </c>
      <c r="G1088" t="s">
        <v>38</v>
      </c>
      <c r="H1088">
        <v>2918</v>
      </c>
      <c r="I1088">
        <v>2325.7408714691401</v>
      </c>
      <c r="J1088">
        <v>592.25912853086038</v>
      </c>
    </row>
    <row r="1089" spans="1:10" x14ac:dyDescent="0.35">
      <c r="A1089" s="1">
        <v>45580</v>
      </c>
      <c r="B1089" t="s">
        <v>10</v>
      </c>
      <c r="C1089" t="s">
        <v>22</v>
      </c>
      <c r="D1089" t="s">
        <v>32</v>
      </c>
      <c r="E1089">
        <v>16</v>
      </c>
      <c r="F1089">
        <v>521</v>
      </c>
      <c r="G1089" t="s">
        <v>40</v>
      </c>
      <c r="H1089">
        <v>8336</v>
      </c>
      <c r="I1089">
        <v>7011.2727469444108</v>
      </c>
      <c r="J1089">
        <v>1324.727253055589</v>
      </c>
    </row>
    <row r="1090" spans="1:10" x14ac:dyDescent="0.35">
      <c r="A1090" s="1">
        <v>45545</v>
      </c>
      <c r="B1090" t="s">
        <v>12</v>
      </c>
      <c r="C1090" t="s">
        <v>22</v>
      </c>
      <c r="D1090" t="s">
        <v>33</v>
      </c>
      <c r="E1090">
        <v>6</v>
      </c>
      <c r="F1090">
        <v>1873</v>
      </c>
      <c r="G1090" t="s">
        <v>40</v>
      </c>
      <c r="H1090">
        <v>11238</v>
      </c>
      <c r="I1090">
        <v>8894.2234714986389</v>
      </c>
      <c r="J1090">
        <v>2343.7765285013611</v>
      </c>
    </row>
    <row r="1091" spans="1:10" x14ac:dyDescent="0.35">
      <c r="A1091" s="1">
        <v>45487</v>
      </c>
      <c r="B1091" t="s">
        <v>10</v>
      </c>
      <c r="C1091" t="s">
        <v>23</v>
      </c>
      <c r="D1091" t="s">
        <v>33</v>
      </c>
      <c r="E1091">
        <v>19</v>
      </c>
      <c r="F1091">
        <v>420</v>
      </c>
      <c r="G1091" t="s">
        <v>39</v>
      </c>
      <c r="H1091">
        <v>7980</v>
      </c>
      <c r="I1091">
        <v>4943.1547226153461</v>
      </c>
      <c r="J1091">
        <v>3036.8452773846539</v>
      </c>
    </row>
    <row r="1092" spans="1:10" x14ac:dyDescent="0.35">
      <c r="A1092" s="1">
        <v>45377</v>
      </c>
      <c r="B1092" t="s">
        <v>13</v>
      </c>
      <c r="C1092" t="s">
        <v>18</v>
      </c>
      <c r="D1092" t="s">
        <v>33</v>
      </c>
      <c r="E1092">
        <v>13</v>
      </c>
      <c r="F1092">
        <v>1620</v>
      </c>
      <c r="G1092" t="s">
        <v>39</v>
      </c>
      <c r="H1092">
        <v>21060</v>
      </c>
      <c r="I1092">
        <v>14797.848904615459</v>
      </c>
      <c r="J1092">
        <v>6262.1510953845454</v>
      </c>
    </row>
    <row r="1093" spans="1:10" x14ac:dyDescent="0.35">
      <c r="A1093" s="1">
        <v>45613</v>
      </c>
      <c r="B1093" t="s">
        <v>12</v>
      </c>
      <c r="C1093" t="s">
        <v>19</v>
      </c>
      <c r="D1093" t="s">
        <v>31</v>
      </c>
      <c r="E1093">
        <v>17</v>
      </c>
      <c r="F1093">
        <v>686</v>
      </c>
      <c r="G1093" t="s">
        <v>40</v>
      </c>
      <c r="H1093">
        <v>11662</v>
      </c>
      <c r="I1093">
        <v>10458.421599625321</v>
      </c>
      <c r="J1093">
        <v>1203.578400374678</v>
      </c>
    </row>
    <row r="1094" spans="1:10" x14ac:dyDescent="0.35">
      <c r="A1094" s="1">
        <v>45301</v>
      </c>
      <c r="B1094" t="s">
        <v>11</v>
      </c>
      <c r="C1094" t="s">
        <v>18</v>
      </c>
      <c r="D1094" t="s">
        <v>31</v>
      </c>
      <c r="E1094">
        <v>9</v>
      </c>
      <c r="F1094">
        <v>1046</v>
      </c>
      <c r="G1094" t="s">
        <v>39</v>
      </c>
      <c r="H1094">
        <v>9414</v>
      </c>
      <c r="I1094">
        <v>6203.3843576513236</v>
      </c>
      <c r="J1094">
        <v>3210.6156423486759</v>
      </c>
    </row>
    <row r="1095" spans="1:10" x14ac:dyDescent="0.35">
      <c r="A1095" s="1">
        <v>45296</v>
      </c>
      <c r="B1095" t="s">
        <v>10</v>
      </c>
      <c r="C1095" t="s">
        <v>23</v>
      </c>
      <c r="D1095" t="s">
        <v>37</v>
      </c>
      <c r="E1095">
        <v>17</v>
      </c>
      <c r="F1095">
        <v>1286</v>
      </c>
      <c r="G1095" t="s">
        <v>39</v>
      </c>
      <c r="H1095">
        <v>21862</v>
      </c>
      <c r="I1095">
        <v>16965.321333690579</v>
      </c>
      <c r="J1095">
        <v>4896.6786663094244</v>
      </c>
    </row>
    <row r="1096" spans="1:10" x14ac:dyDescent="0.35">
      <c r="A1096" s="1">
        <v>45414</v>
      </c>
      <c r="B1096" t="s">
        <v>12</v>
      </c>
      <c r="C1096" t="s">
        <v>18</v>
      </c>
      <c r="D1096" t="s">
        <v>31</v>
      </c>
      <c r="E1096">
        <v>2</v>
      </c>
      <c r="F1096">
        <v>1934</v>
      </c>
      <c r="G1096" t="s">
        <v>39</v>
      </c>
      <c r="H1096">
        <v>3868</v>
      </c>
      <c r="I1096">
        <v>3298.948318513575</v>
      </c>
      <c r="J1096">
        <v>569.05168148642542</v>
      </c>
    </row>
    <row r="1097" spans="1:10" x14ac:dyDescent="0.35">
      <c r="A1097" s="1">
        <v>45621</v>
      </c>
      <c r="B1097" t="s">
        <v>11</v>
      </c>
      <c r="C1097" t="s">
        <v>28</v>
      </c>
      <c r="D1097" t="s">
        <v>34</v>
      </c>
      <c r="E1097">
        <v>19</v>
      </c>
      <c r="F1097">
        <v>1664</v>
      </c>
      <c r="G1097" t="s">
        <v>39</v>
      </c>
      <c r="H1097">
        <v>31616</v>
      </c>
      <c r="I1097">
        <v>24532.990636976501</v>
      </c>
      <c r="J1097">
        <v>7083.0093630234951</v>
      </c>
    </row>
    <row r="1098" spans="1:10" x14ac:dyDescent="0.35">
      <c r="A1098" s="1">
        <v>45644</v>
      </c>
      <c r="B1098" t="s">
        <v>12</v>
      </c>
      <c r="C1098" t="s">
        <v>24</v>
      </c>
      <c r="D1098" t="s">
        <v>34</v>
      </c>
      <c r="E1098">
        <v>19</v>
      </c>
      <c r="F1098">
        <v>1288</v>
      </c>
      <c r="G1098" t="s">
        <v>40</v>
      </c>
      <c r="H1098">
        <v>24472</v>
      </c>
      <c r="I1098">
        <v>17416.259327062809</v>
      </c>
      <c r="J1098">
        <v>7055.7406729371869</v>
      </c>
    </row>
    <row r="1099" spans="1:10" x14ac:dyDescent="0.35">
      <c r="A1099" s="1">
        <v>45409</v>
      </c>
      <c r="B1099" t="s">
        <v>12</v>
      </c>
      <c r="C1099" t="s">
        <v>21</v>
      </c>
      <c r="D1099" t="s">
        <v>35</v>
      </c>
      <c r="E1099">
        <v>7</v>
      </c>
      <c r="F1099">
        <v>948</v>
      </c>
      <c r="G1099" t="s">
        <v>40</v>
      </c>
      <c r="H1099">
        <v>6636</v>
      </c>
      <c r="I1099">
        <v>4141.3190226584084</v>
      </c>
      <c r="J1099">
        <v>2494.6809773415921</v>
      </c>
    </row>
    <row r="1100" spans="1:10" x14ac:dyDescent="0.35">
      <c r="A1100" s="1">
        <v>45585</v>
      </c>
      <c r="B1100" t="s">
        <v>12</v>
      </c>
      <c r="C1100" t="s">
        <v>22</v>
      </c>
      <c r="D1100" t="s">
        <v>30</v>
      </c>
      <c r="E1100">
        <v>10</v>
      </c>
      <c r="F1100">
        <v>1821</v>
      </c>
      <c r="G1100" t="s">
        <v>40</v>
      </c>
      <c r="H1100">
        <v>18210</v>
      </c>
      <c r="I1100">
        <v>12901.77536255469</v>
      </c>
      <c r="J1100">
        <v>5308.2246374453116</v>
      </c>
    </row>
    <row r="1101" spans="1:10" x14ac:dyDescent="0.35">
      <c r="A1101" s="1">
        <v>45450</v>
      </c>
      <c r="B1101" t="s">
        <v>10</v>
      </c>
      <c r="C1101" t="s">
        <v>23</v>
      </c>
      <c r="D1101" t="s">
        <v>37</v>
      </c>
      <c r="E1101">
        <v>10</v>
      </c>
      <c r="F1101">
        <v>1689</v>
      </c>
      <c r="G1101" t="s">
        <v>39</v>
      </c>
      <c r="H1101">
        <v>16890</v>
      </c>
      <c r="I1101">
        <v>11056.536081146931</v>
      </c>
      <c r="J1101">
        <v>5833.4639188530746</v>
      </c>
    </row>
    <row r="1102" spans="1:10" x14ac:dyDescent="0.35">
      <c r="A1102" s="1">
        <v>45594</v>
      </c>
      <c r="B1102" t="s">
        <v>11</v>
      </c>
      <c r="C1102" t="s">
        <v>23</v>
      </c>
      <c r="D1102" t="s">
        <v>30</v>
      </c>
      <c r="E1102">
        <v>9</v>
      </c>
      <c r="F1102">
        <v>1418</v>
      </c>
      <c r="G1102" t="s">
        <v>39</v>
      </c>
      <c r="H1102">
        <v>12762</v>
      </c>
      <c r="I1102">
        <v>11335.95937841719</v>
      </c>
      <c r="J1102">
        <v>1426.04062158281</v>
      </c>
    </row>
    <row r="1103" spans="1:10" x14ac:dyDescent="0.35">
      <c r="A1103" s="1">
        <v>45519</v>
      </c>
      <c r="B1103" t="s">
        <v>13</v>
      </c>
      <c r="C1103" t="s">
        <v>19</v>
      </c>
      <c r="D1103" t="s">
        <v>32</v>
      </c>
      <c r="E1103">
        <v>17</v>
      </c>
      <c r="F1103">
        <v>141</v>
      </c>
      <c r="G1103" t="s">
        <v>40</v>
      </c>
      <c r="H1103">
        <v>2397</v>
      </c>
      <c r="I1103">
        <v>1952.379397264564</v>
      </c>
      <c r="J1103">
        <v>444.62060273543631</v>
      </c>
    </row>
    <row r="1104" spans="1:10" x14ac:dyDescent="0.35">
      <c r="A1104" s="1">
        <v>45656</v>
      </c>
      <c r="B1104" t="s">
        <v>10</v>
      </c>
      <c r="C1104" t="s">
        <v>23</v>
      </c>
      <c r="D1104" t="s">
        <v>36</v>
      </c>
      <c r="F1104">
        <v>1408</v>
      </c>
      <c r="G1104" t="s">
        <v>39</v>
      </c>
    </row>
    <row r="1105" spans="1:10" x14ac:dyDescent="0.35">
      <c r="A1105" s="1">
        <v>45507</v>
      </c>
      <c r="B1105" t="s">
        <v>10</v>
      </c>
      <c r="C1105" t="s">
        <v>17</v>
      </c>
      <c r="D1105" t="s">
        <v>35</v>
      </c>
      <c r="E1105">
        <v>2</v>
      </c>
      <c r="F1105">
        <v>1038</v>
      </c>
      <c r="G1105" t="s">
        <v>38</v>
      </c>
      <c r="H1105">
        <v>2076</v>
      </c>
      <c r="I1105">
        <v>1517.121658865035</v>
      </c>
      <c r="J1105">
        <v>558.87834113496456</v>
      </c>
    </row>
    <row r="1106" spans="1:10" x14ac:dyDescent="0.35">
      <c r="A1106" s="1">
        <v>45475</v>
      </c>
      <c r="B1106" t="s">
        <v>10</v>
      </c>
      <c r="C1106" t="s">
        <v>21</v>
      </c>
      <c r="D1106" t="s">
        <v>32</v>
      </c>
      <c r="E1106">
        <v>4</v>
      </c>
      <c r="F1106">
        <v>486</v>
      </c>
      <c r="G1106" t="s">
        <v>40</v>
      </c>
      <c r="H1106">
        <v>1944</v>
      </c>
      <c r="I1106">
        <v>1230.5314877664109</v>
      </c>
      <c r="J1106">
        <v>713.46851223358885</v>
      </c>
    </row>
    <row r="1107" spans="1:10" x14ac:dyDescent="0.35">
      <c r="A1107" s="1">
        <v>45306</v>
      </c>
      <c r="B1107" t="s">
        <v>13</v>
      </c>
      <c r="C1107" t="s">
        <v>22</v>
      </c>
      <c r="D1107" t="s">
        <v>32</v>
      </c>
      <c r="E1107">
        <v>19</v>
      </c>
      <c r="F1107">
        <v>1261</v>
      </c>
      <c r="G1107" t="s">
        <v>40</v>
      </c>
      <c r="H1107">
        <v>23959</v>
      </c>
      <c r="I1107">
        <v>16292.47808762485</v>
      </c>
      <c r="J1107">
        <v>7666.5219123751467</v>
      </c>
    </row>
    <row r="1108" spans="1:10" x14ac:dyDescent="0.35">
      <c r="A1108" s="1">
        <v>45448</v>
      </c>
      <c r="B1108" t="s">
        <v>11</v>
      </c>
      <c r="C1108" t="s">
        <v>22</v>
      </c>
      <c r="D1108" t="s">
        <v>37</v>
      </c>
      <c r="E1108">
        <v>17</v>
      </c>
      <c r="F1108">
        <v>1310</v>
      </c>
      <c r="G1108" t="s">
        <v>40</v>
      </c>
      <c r="H1108">
        <v>22270</v>
      </c>
      <c r="I1108">
        <v>15097.12988626715</v>
      </c>
      <c r="J1108">
        <v>7172.870113732848</v>
      </c>
    </row>
    <row r="1109" spans="1:10" x14ac:dyDescent="0.35">
      <c r="A1109" s="1">
        <v>45427</v>
      </c>
      <c r="B1109" t="s">
        <v>11</v>
      </c>
      <c r="C1109" t="s">
        <v>19</v>
      </c>
      <c r="D1109" t="s">
        <v>33</v>
      </c>
      <c r="E1109">
        <v>5</v>
      </c>
      <c r="F1109">
        <v>1009</v>
      </c>
      <c r="G1109" t="s">
        <v>40</v>
      </c>
      <c r="H1109">
        <v>5045</v>
      </c>
      <c r="I1109">
        <v>3763.7405474381371</v>
      </c>
      <c r="J1109">
        <v>1281.2594525618631</v>
      </c>
    </row>
    <row r="1110" spans="1:10" x14ac:dyDescent="0.35">
      <c r="A1110" s="1">
        <v>45552</v>
      </c>
      <c r="B1110" t="s">
        <v>11</v>
      </c>
      <c r="C1110" t="s">
        <v>24</v>
      </c>
      <c r="D1110" t="s">
        <v>33</v>
      </c>
      <c r="E1110">
        <v>7</v>
      </c>
      <c r="F1110">
        <v>815</v>
      </c>
      <c r="G1110" t="s">
        <v>40</v>
      </c>
      <c r="H1110">
        <v>5705</v>
      </c>
      <c r="I1110">
        <v>4211.9669049256809</v>
      </c>
      <c r="J1110">
        <v>1493.0330950743189</v>
      </c>
    </row>
    <row r="1111" spans="1:10" x14ac:dyDescent="0.35">
      <c r="A1111" s="1">
        <v>45448</v>
      </c>
      <c r="B1111" t="s">
        <v>12</v>
      </c>
      <c r="C1111" t="s">
        <v>22</v>
      </c>
      <c r="D1111" t="s">
        <v>30</v>
      </c>
      <c r="E1111">
        <v>18</v>
      </c>
      <c r="F1111">
        <v>530</v>
      </c>
      <c r="G1111" t="s">
        <v>40</v>
      </c>
      <c r="H1111">
        <v>9540</v>
      </c>
      <c r="I1111">
        <v>6964.4143181182071</v>
      </c>
      <c r="J1111">
        <v>2575.5856818817929</v>
      </c>
    </row>
    <row r="1112" spans="1:10" x14ac:dyDescent="0.35">
      <c r="A1112" s="1">
        <v>45338</v>
      </c>
      <c r="B1112" t="s">
        <v>12</v>
      </c>
      <c r="C1112" t="s">
        <v>17</v>
      </c>
      <c r="D1112" t="s">
        <v>35</v>
      </c>
      <c r="E1112">
        <v>7</v>
      </c>
      <c r="F1112">
        <v>653</v>
      </c>
      <c r="G1112" t="s">
        <v>38</v>
      </c>
      <c r="H1112">
        <v>4571</v>
      </c>
      <c r="I1112">
        <v>3422.7339000757561</v>
      </c>
      <c r="J1112">
        <v>1148.2660999242439</v>
      </c>
    </row>
    <row r="1113" spans="1:10" x14ac:dyDescent="0.35">
      <c r="A1113" s="1">
        <v>45615</v>
      </c>
      <c r="B1113" t="s">
        <v>12</v>
      </c>
      <c r="C1113" t="s">
        <v>22</v>
      </c>
      <c r="D1113" t="s">
        <v>33</v>
      </c>
      <c r="E1113">
        <v>17</v>
      </c>
      <c r="F1113">
        <v>1985</v>
      </c>
      <c r="G1113" t="s">
        <v>40</v>
      </c>
      <c r="H1113">
        <v>33745</v>
      </c>
      <c r="I1113">
        <v>30239.128170439461</v>
      </c>
      <c r="J1113">
        <v>3505.8718295605358</v>
      </c>
    </row>
    <row r="1114" spans="1:10" x14ac:dyDescent="0.35">
      <c r="A1114" s="1">
        <v>45623</v>
      </c>
      <c r="B1114" t="s">
        <v>13</v>
      </c>
      <c r="C1114" t="s">
        <v>17</v>
      </c>
      <c r="D1114" t="s">
        <v>32</v>
      </c>
      <c r="E1114">
        <v>7</v>
      </c>
      <c r="F1114">
        <v>1539</v>
      </c>
      <c r="G1114" t="s">
        <v>38</v>
      </c>
      <c r="H1114">
        <v>10773</v>
      </c>
      <c r="I1114">
        <v>7428.0490989070531</v>
      </c>
      <c r="J1114">
        <v>3344.9509010929469</v>
      </c>
    </row>
    <row r="1115" spans="1:10" x14ac:dyDescent="0.35">
      <c r="A1115" s="1">
        <v>45464</v>
      </c>
      <c r="B1115" t="s">
        <v>12</v>
      </c>
      <c r="C1115" t="s">
        <v>21</v>
      </c>
      <c r="D1115" t="s">
        <v>33</v>
      </c>
      <c r="E1115">
        <v>4</v>
      </c>
      <c r="F1115">
        <v>899</v>
      </c>
      <c r="G1115" t="s">
        <v>40</v>
      </c>
      <c r="H1115">
        <v>3596</v>
      </c>
      <c r="I1115">
        <v>2821.352370178663</v>
      </c>
      <c r="J1115">
        <v>774.64762982133743</v>
      </c>
    </row>
    <row r="1116" spans="1:10" x14ac:dyDescent="0.35">
      <c r="A1116" s="1">
        <v>45421</v>
      </c>
      <c r="B1116" t="s">
        <v>13</v>
      </c>
      <c r="C1116" t="s">
        <v>21</v>
      </c>
      <c r="D1116" t="s">
        <v>31</v>
      </c>
      <c r="E1116">
        <v>8</v>
      </c>
      <c r="F1116">
        <v>525</v>
      </c>
      <c r="G1116" t="s">
        <v>40</v>
      </c>
      <c r="H1116">
        <v>4200</v>
      </c>
      <c r="I1116">
        <v>2821.779757490784</v>
      </c>
      <c r="J1116">
        <v>1378.220242509216</v>
      </c>
    </row>
    <row r="1117" spans="1:10" x14ac:dyDescent="0.35">
      <c r="A1117" s="1">
        <v>45386</v>
      </c>
      <c r="B1117" t="s">
        <v>11</v>
      </c>
      <c r="C1117" t="s">
        <v>20</v>
      </c>
      <c r="D1117" t="s">
        <v>33</v>
      </c>
      <c r="E1117">
        <v>13</v>
      </c>
      <c r="F1117">
        <v>1539</v>
      </c>
      <c r="G1117" t="s">
        <v>38</v>
      </c>
      <c r="H1117">
        <v>20007</v>
      </c>
      <c r="I1117">
        <v>14804.817468715541</v>
      </c>
      <c r="J1117">
        <v>5202.182531284463</v>
      </c>
    </row>
    <row r="1118" spans="1:10" x14ac:dyDescent="0.35">
      <c r="A1118" s="1">
        <v>45406</v>
      </c>
      <c r="B1118" t="s">
        <v>12</v>
      </c>
      <c r="C1118" t="s">
        <v>20</v>
      </c>
      <c r="E1118">
        <v>4</v>
      </c>
      <c r="F1118">
        <v>125</v>
      </c>
      <c r="G1118" t="s">
        <v>38</v>
      </c>
      <c r="H1118">
        <v>500</v>
      </c>
      <c r="I1118">
        <v>330.00738497195618</v>
      </c>
      <c r="J1118">
        <v>169.99261502804379</v>
      </c>
    </row>
    <row r="1119" spans="1:10" x14ac:dyDescent="0.35">
      <c r="A1119" s="1">
        <v>45534</v>
      </c>
      <c r="B1119" t="s">
        <v>12</v>
      </c>
      <c r="C1119" t="s">
        <v>17</v>
      </c>
      <c r="D1119" t="s">
        <v>30</v>
      </c>
      <c r="E1119">
        <v>6</v>
      </c>
      <c r="G1119" t="s">
        <v>38</v>
      </c>
    </row>
    <row r="1120" spans="1:10" x14ac:dyDescent="0.35">
      <c r="A1120" s="1">
        <v>45583</v>
      </c>
      <c r="B1120" t="s">
        <v>10</v>
      </c>
      <c r="C1120" t="s">
        <v>24</v>
      </c>
      <c r="E1120">
        <v>5</v>
      </c>
      <c r="F1120">
        <v>484</v>
      </c>
      <c r="G1120" t="s">
        <v>40</v>
      </c>
      <c r="H1120">
        <v>2420</v>
      </c>
      <c r="I1120">
        <v>1644.3985569871429</v>
      </c>
      <c r="J1120">
        <v>775.60144301285732</v>
      </c>
    </row>
    <row r="1121" spans="1:10" x14ac:dyDescent="0.35">
      <c r="A1121" s="1">
        <v>45573</v>
      </c>
      <c r="B1121" t="s">
        <v>13</v>
      </c>
      <c r="C1121" t="s">
        <v>22</v>
      </c>
      <c r="D1121" t="s">
        <v>35</v>
      </c>
      <c r="E1121">
        <v>12</v>
      </c>
      <c r="F1121">
        <v>155</v>
      </c>
      <c r="G1121" t="s">
        <v>40</v>
      </c>
      <c r="H1121">
        <v>1860</v>
      </c>
      <c r="I1121">
        <v>1136.528215529107</v>
      </c>
      <c r="J1121">
        <v>723.47178447089254</v>
      </c>
    </row>
    <row r="1122" spans="1:10" x14ac:dyDescent="0.35">
      <c r="A1122" s="1">
        <v>45590</v>
      </c>
      <c r="B1122" t="s">
        <v>11</v>
      </c>
      <c r="C1122" t="s">
        <v>23</v>
      </c>
      <c r="D1122" t="s">
        <v>36</v>
      </c>
      <c r="E1122">
        <v>4</v>
      </c>
      <c r="F1122">
        <v>1376</v>
      </c>
      <c r="G1122" t="s">
        <v>39</v>
      </c>
      <c r="H1122">
        <v>5504</v>
      </c>
      <c r="I1122">
        <v>4648.57562623992</v>
      </c>
      <c r="J1122">
        <v>855.42437376008002</v>
      </c>
    </row>
    <row r="1123" spans="1:10" x14ac:dyDescent="0.35">
      <c r="A1123" s="1">
        <v>45574</v>
      </c>
      <c r="B1123" t="s">
        <v>50</v>
      </c>
      <c r="C1123" t="s">
        <v>22</v>
      </c>
      <c r="D1123" t="s">
        <v>33</v>
      </c>
      <c r="F1123">
        <v>733</v>
      </c>
      <c r="G1123" t="s">
        <v>40</v>
      </c>
    </row>
    <row r="1124" spans="1:10" x14ac:dyDescent="0.35">
      <c r="A1124" s="1">
        <v>45360</v>
      </c>
      <c r="B1124" t="s">
        <v>10</v>
      </c>
      <c r="C1124" t="s">
        <v>20</v>
      </c>
      <c r="D1124" t="s">
        <v>34</v>
      </c>
      <c r="F1124">
        <v>205</v>
      </c>
      <c r="G1124" t="s">
        <v>38</v>
      </c>
    </row>
    <row r="1125" spans="1:10" x14ac:dyDescent="0.35">
      <c r="A1125" s="1">
        <v>45439</v>
      </c>
      <c r="B1125" t="s">
        <v>11</v>
      </c>
      <c r="C1125" t="s">
        <v>18</v>
      </c>
      <c r="D1125" t="s">
        <v>34</v>
      </c>
      <c r="E1125">
        <v>19</v>
      </c>
      <c r="F1125">
        <v>1253</v>
      </c>
      <c r="G1125" t="s">
        <v>39</v>
      </c>
      <c r="H1125">
        <v>23807</v>
      </c>
      <c r="I1125">
        <v>17692.250202033119</v>
      </c>
      <c r="J1125">
        <v>6114.7497979668769</v>
      </c>
    </row>
    <row r="1126" spans="1:10" x14ac:dyDescent="0.35">
      <c r="A1126" s="1">
        <v>45302</v>
      </c>
      <c r="B1126" t="s">
        <v>10</v>
      </c>
      <c r="C1126" t="s">
        <v>23</v>
      </c>
      <c r="D1126" t="s">
        <v>30</v>
      </c>
      <c r="E1126">
        <v>14</v>
      </c>
      <c r="F1126">
        <v>948</v>
      </c>
      <c r="G1126" t="s">
        <v>39</v>
      </c>
      <c r="H1126">
        <v>13272</v>
      </c>
      <c r="I1126">
        <v>9685.162369679947</v>
      </c>
      <c r="J1126">
        <v>3586.837630320053</v>
      </c>
    </row>
    <row r="1127" spans="1:10" x14ac:dyDescent="0.35">
      <c r="A1127" s="1">
        <v>45545</v>
      </c>
      <c r="B1127" t="s">
        <v>13</v>
      </c>
      <c r="C1127" t="s">
        <v>17</v>
      </c>
      <c r="D1127" t="s">
        <v>32</v>
      </c>
      <c r="E1127">
        <v>5</v>
      </c>
      <c r="F1127">
        <v>769</v>
      </c>
      <c r="G1127" t="s">
        <v>38</v>
      </c>
      <c r="H1127">
        <v>3845</v>
      </c>
      <c r="I1127">
        <v>3144.0554584164261</v>
      </c>
      <c r="J1127">
        <v>700.94454158357439</v>
      </c>
    </row>
    <row r="1128" spans="1:10" x14ac:dyDescent="0.35">
      <c r="A1128" s="1">
        <v>45621</v>
      </c>
      <c r="B1128" t="s">
        <v>13</v>
      </c>
      <c r="C1128" t="s">
        <v>23</v>
      </c>
      <c r="D1128" t="s">
        <v>36</v>
      </c>
      <c r="E1128">
        <v>18</v>
      </c>
      <c r="F1128">
        <v>475</v>
      </c>
      <c r="G1128" t="s">
        <v>39</v>
      </c>
      <c r="H1128">
        <v>8550</v>
      </c>
      <c r="I1128">
        <v>6660.7319685628727</v>
      </c>
      <c r="J1128">
        <v>1889.2680314371271</v>
      </c>
    </row>
    <row r="1129" spans="1:10" x14ac:dyDescent="0.35">
      <c r="A1129" s="1">
        <v>45651</v>
      </c>
      <c r="B1129" t="s">
        <v>12</v>
      </c>
      <c r="C1129" t="s">
        <v>18</v>
      </c>
      <c r="D1129" t="s">
        <v>36</v>
      </c>
      <c r="E1129">
        <v>10</v>
      </c>
      <c r="F1129">
        <v>842</v>
      </c>
      <c r="G1129" t="s">
        <v>39</v>
      </c>
      <c r="H1129">
        <v>8420</v>
      </c>
      <c r="I1129">
        <v>5798.1076075191086</v>
      </c>
      <c r="J1129">
        <v>2621.892392480891</v>
      </c>
    </row>
    <row r="1130" spans="1:10" x14ac:dyDescent="0.35">
      <c r="A1130" s="1">
        <v>45329</v>
      </c>
      <c r="B1130" t="s">
        <v>10</v>
      </c>
      <c r="C1130" t="s">
        <v>22</v>
      </c>
      <c r="D1130" t="s">
        <v>31</v>
      </c>
      <c r="E1130">
        <v>19</v>
      </c>
      <c r="F1130">
        <v>1066</v>
      </c>
      <c r="G1130" t="s">
        <v>40</v>
      </c>
      <c r="H1130">
        <v>20254</v>
      </c>
      <c r="I1130">
        <v>12466.557767631881</v>
      </c>
      <c r="J1130">
        <v>7787.442232368121</v>
      </c>
    </row>
    <row r="1131" spans="1:10" x14ac:dyDescent="0.35">
      <c r="A1131" s="1">
        <v>45425</v>
      </c>
      <c r="B1131" t="s">
        <v>12</v>
      </c>
      <c r="C1131" t="s">
        <v>22</v>
      </c>
      <c r="D1131" t="s">
        <v>36</v>
      </c>
      <c r="E1131">
        <v>12</v>
      </c>
      <c r="F1131">
        <v>407</v>
      </c>
      <c r="G1131" t="s">
        <v>40</v>
      </c>
      <c r="H1131">
        <v>4884</v>
      </c>
      <c r="I1131">
        <v>4055.0803672645538</v>
      </c>
      <c r="J1131">
        <v>828.91963273544616</v>
      </c>
    </row>
    <row r="1132" spans="1:10" x14ac:dyDescent="0.35">
      <c r="A1132" s="1">
        <v>45491</v>
      </c>
      <c r="B1132" t="s">
        <v>10</v>
      </c>
      <c r="C1132" t="s">
        <v>24</v>
      </c>
      <c r="D1132" t="s">
        <v>34</v>
      </c>
      <c r="E1132">
        <v>18</v>
      </c>
      <c r="F1132">
        <v>190</v>
      </c>
      <c r="G1132" t="s">
        <v>40</v>
      </c>
      <c r="H1132">
        <v>3420</v>
      </c>
      <c r="I1132">
        <v>2413.692831972061</v>
      </c>
      <c r="J1132">
        <v>1006.307168027939</v>
      </c>
    </row>
    <row r="1133" spans="1:10" x14ac:dyDescent="0.35">
      <c r="A1133" s="1">
        <v>45314</v>
      </c>
      <c r="B1133" t="s">
        <v>13</v>
      </c>
      <c r="C1133" t="s">
        <v>19</v>
      </c>
      <c r="D1133" t="s">
        <v>37</v>
      </c>
      <c r="E1133">
        <v>17</v>
      </c>
      <c r="F1133">
        <v>1516</v>
      </c>
      <c r="G1133" t="s">
        <v>40</v>
      </c>
      <c r="H1133">
        <v>25772</v>
      </c>
      <c r="I1133">
        <v>22342.19580751536</v>
      </c>
      <c r="J1133">
        <v>3429.804192484637</v>
      </c>
    </row>
    <row r="1134" spans="1:10" x14ac:dyDescent="0.35">
      <c r="A1134" s="1">
        <v>45594</v>
      </c>
      <c r="B1134" t="s">
        <v>13</v>
      </c>
      <c r="C1134" t="s">
        <v>23</v>
      </c>
      <c r="D1134" t="s">
        <v>32</v>
      </c>
      <c r="E1134">
        <v>11</v>
      </c>
      <c r="F1134">
        <v>1657</v>
      </c>
      <c r="G1134" t="s">
        <v>39</v>
      </c>
      <c r="H1134">
        <v>18227</v>
      </c>
      <c r="I1134">
        <v>13096.409943739931</v>
      </c>
      <c r="J1134">
        <v>5130.5900562600673</v>
      </c>
    </row>
    <row r="1135" spans="1:10" x14ac:dyDescent="0.35">
      <c r="A1135" s="1">
        <v>45637</v>
      </c>
      <c r="B1135" t="s">
        <v>13</v>
      </c>
      <c r="C1135" t="s">
        <v>20</v>
      </c>
      <c r="D1135" t="s">
        <v>32</v>
      </c>
      <c r="E1135">
        <v>3</v>
      </c>
      <c r="F1135">
        <v>901</v>
      </c>
      <c r="G1135" t="s">
        <v>38</v>
      </c>
      <c r="H1135">
        <v>2703</v>
      </c>
      <c r="I1135">
        <v>2203.7493637170669</v>
      </c>
      <c r="J1135">
        <v>499.2506362829331</v>
      </c>
    </row>
    <row r="1136" spans="1:10" x14ac:dyDescent="0.35">
      <c r="A1136" s="1">
        <v>45593</v>
      </c>
      <c r="B1136" t="s">
        <v>10</v>
      </c>
      <c r="C1136" t="s">
        <v>18</v>
      </c>
      <c r="D1136" t="s">
        <v>33</v>
      </c>
      <c r="E1136">
        <v>17</v>
      </c>
      <c r="F1136">
        <v>209</v>
      </c>
      <c r="G1136" t="s">
        <v>39</v>
      </c>
      <c r="H1136">
        <v>3553</v>
      </c>
      <c r="I1136">
        <v>3133.282017177844</v>
      </c>
      <c r="J1136">
        <v>419.71798282215559</v>
      </c>
    </row>
    <row r="1137" spans="1:10" x14ac:dyDescent="0.35">
      <c r="A1137" s="1">
        <v>45654</v>
      </c>
      <c r="B1137" t="s">
        <v>13</v>
      </c>
      <c r="C1137" t="s">
        <v>18</v>
      </c>
      <c r="D1137" t="s">
        <v>33</v>
      </c>
      <c r="E1137">
        <v>1</v>
      </c>
      <c r="F1137">
        <v>1684</v>
      </c>
      <c r="G1137" t="s">
        <v>39</v>
      </c>
      <c r="H1137">
        <v>1684</v>
      </c>
      <c r="I1137">
        <v>1339.3622180610439</v>
      </c>
      <c r="J1137">
        <v>344.63778193895558</v>
      </c>
    </row>
    <row r="1138" spans="1:10" x14ac:dyDescent="0.35">
      <c r="A1138" s="1">
        <v>45509</v>
      </c>
      <c r="B1138" t="s">
        <v>10</v>
      </c>
      <c r="C1138" t="s">
        <v>18</v>
      </c>
      <c r="E1138">
        <v>15</v>
      </c>
      <c r="F1138">
        <v>1764</v>
      </c>
      <c r="G1138" t="s">
        <v>39</v>
      </c>
      <c r="H1138">
        <v>26460</v>
      </c>
      <c r="I1138">
        <v>19158.2749945494</v>
      </c>
      <c r="J1138">
        <v>7301.7250054506039</v>
      </c>
    </row>
    <row r="1139" spans="1:10" x14ac:dyDescent="0.35">
      <c r="A1139" s="1">
        <v>45432</v>
      </c>
      <c r="B1139" t="s">
        <v>12</v>
      </c>
      <c r="C1139" t="s">
        <v>20</v>
      </c>
      <c r="D1139" t="s">
        <v>34</v>
      </c>
      <c r="E1139">
        <v>9</v>
      </c>
      <c r="F1139">
        <v>684</v>
      </c>
      <c r="G1139" t="s">
        <v>38</v>
      </c>
      <c r="H1139">
        <v>6156</v>
      </c>
      <c r="I1139">
        <v>4741.4729695938786</v>
      </c>
      <c r="J1139">
        <v>1414.527030406121</v>
      </c>
    </row>
    <row r="1140" spans="1:10" x14ac:dyDescent="0.35">
      <c r="A1140" s="1">
        <v>45395</v>
      </c>
      <c r="B1140" t="s">
        <v>10</v>
      </c>
      <c r="C1140" t="s">
        <v>19</v>
      </c>
      <c r="D1140" t="s">
        <v>34</v>
      </c>
      <c r="E1140">
        <v>15</v>
      </c>
      <c r="F1140">
        <v>439</v>
      </c>
      <c r="G1140" t="s">
        <v>40</v>
      </c>
      <c r="H1140">
        <v>6585</v>
      </c>
      <c r="I1140">
        <v>5024.5759699645087</v>
      </c>
      <c r="J1140">
        <v>1560.4240300354909</v>
      </c>
    </row>
    <row r="1141" spans="1:10" x14ac:dyDescent="0.35">
      <c r="A1141" s="1">
        <v>45501</v>
      </c>
      <c r="B1141" t="s">
        <v>12</v>
      </c>
      <c r="C1141" t="s">
        <v>22</v>
      </c>
      <c r="D1141" t="s">
        <v>30</v>
      </c>
      <c r="E1141">
        <v>3</v>
      </c>
      <c r="F1141">
        <v>1688</v>
      </c>
      <c r="G1141" t="s">
        <v>40</v>
      </c>
      <c r="H1141">
        <v>5064</v>
      </c>
      <c r="I1141">
        <v>3926.8585996837892</v>
      </c>
      <c r="J1141">
        <v>1137.141400316211</v>
      </c>
    </row>
    <row r="1142" spans="1:10" x14ac:dyDescent="0.35">
      <c r="A1142" s="1">
        <v>45402</v>
      </c>
      <c r="B1142" t="s">
        <v>10</v>
      </c>
      <c r="C1142" t="s">
        <v>24</v>
      </c>
      <c r="D1142" t="s">
        <v>34</v>
      </c>
      <c r="E1142">
        <v>19</v>
      </c>
      <c r="F1142">
        <v>1078</v>
      </c>
      <c r="G1142" t="s">
        <v>40</v>
      </c>
      <c r="H1142">
        <v>20482</v>
      </c>
      <c r="I1142">
        <v>13191.350083771809</v>
      </c>
      <c r="J1142">
        <v>7290.6499162281871</v>
      </c>
    </row>
    <row r="1143" spans="1:10" x14ac:dyDescent="0.35">
      <c r="A1143" s="1">
        <v>45395</v>
      </c>
      <c r="B1143" t="s">
        <v>12</v>
      </c>
      <c r="C1143" t="s">
        <v>24</v>
      </c>
      <c r="D1143" t="s">
        <v>34</v>
      </c>
      <c r="E1143">
        <v>13</v>
      </c>
      <c r="F1143">
        <v>455</v>
      </c>
      <c r="G1143" t="s">
        <v>40</v>
      </c>
      <c r="H1143">
        <v>5915</v>
      </c>
      <c r="I1143">
        <v>4788.5057863211241</v>
      </c>
      <c r="J1143">
        <v>1126.4942136788759</v>
      </c>
    </row>
    <row r="1144" spans="1:10" x14ac:dyDescent="0.35">
      <c r="A1144" s="1">
        <v>45607</v>
      </c>
      <c r="B1144" t="s">
        <v>13</v>
      </c>
      <c r="C1144" t="s">
        <v>20</v>
      </c>
      <c r="D1144" t="s">
        <v>34</v>
      </c>
      <c r="E1144">
        <v>12</v>
      </c>
      <c r="F1144">
        <v>267</v>
      </c>
      <c r="G1144" t="s">
        <v>38</v>
      </c>
      <c r="H1144">
        <v>3204</v>
      </c>
      <c r="I1144">
        <v>2061.815592728422</v>
      </c>
      <c r="J1144">
        <v>1142.184407271578</v>
      </c>
    </row>
    <row r="1145" spans="1:10" x14ac:dyDescent="0.35">
      <c r="A1145" s="1">
        <v>45462</v>
      </c>
      <c r="B1145" t="s">
        <v>12</v>
      </c>
      <c r="C1145" t="s">
        <v>24</v>
      </c>
      <c r="D1145" t="s">
        <v>34</v>
      </c>
      <c r="E1145">
        <v>1</v>
      </c>
      <c r="F1145">
        <v>656</v>
      </c>
      <c r="G1145" t="s">
        <v>40</v>
      </c>
      <c r="H1145">
        <v>656</v>
      </c>
      <c r="I1145">
        <v>396.47660283370641</v>
      </c>
      <c r="J1145">
        <v>259.52339716629359</v>
      </c>
    </row>
    <row r="1146" spans="1:10" x14ac:dyDescent="0.35">
      <c r="A1146" s="1">
        <v>45647</v>
      </c>
      <c r="B1146" t="s">
        <v>13</v>
      </c>
      <c r="C1146" t="s">
        <v>18</v>
      </c>
      <c r="D1146" t="s">
        <v>37</v>
      </c>
      <c r="E1146">
        <v>17</v>
      </c>
      <c r="F1146">
        <v>1575</v>
      </c>
      <c r="G1146" t="s">
        <v>39</v>
      </c>
      <c r="H1146">
        <v>26775</v>
      </c>
      <c r="I1146">
        <v>21083.546158744739</v>
      </c>
      <c r="J1146">
        <v>5691.4538412552611</v>
      </c>
    </row>
    <row r="1147" spans="1:10" x14ac:dyDescent="0.35">
      <c r="A1147" s="1">
        <v>45615</v>
      </c>
      <c r="B1147" t="s">
        <v>13</v>
      </c>
      <c r="C1147" t="s">
        <v>21</v>
      </c>
      <c r="D1147" t="s">
        <v>34</v>
      </c>
      <c r="E1147">
        <v>13</v>
      </c>
      <c r="F1147">
        <v>1004</v>
      </c>
      <c r="G1147" t="s">
        <v>40</v>
      </c>
      <c r="H1147">
        <v>13052</v>
      </c>
      <c r="I1147">
        <v>8288.9867832107448</v>
      </c>
      <c r="J1147">
        <v>4763.0132167892552</v>
      </c>
    </row>
    <row r="1148" spans="1:10" x14ac:dyDescent="0.35">
      <c r="A1148" s="1">
        <v>45424</v>
      </c>
      <c r="B1148" t="s">
        <v>12</v>
      </c>
      <c r="C1148" t="s">
        <v>19</v>
      </c>
      <c r="D1148" t="s">
        <v>30</v>
      </c>
      <c r="E1148">
        <v>1</v>
      </c>
      <c r="F1148">
        <v>204</v>
      </c>
      <c r="G1148" t="s">
        <v>40</v>
      </c>
      <c r="H1148">
        <v>204</v>
      </c>
      <c r="I1148">
        <v>169.54919216672991</v>
      </c>
      <c r="J1148">
        <v>34.450807833270062</v>
      </c>
    </row>
    <row r="1149" spans="1:10" x14ac:dyDescent="0.35">
      <c r="A1149" s="1">
        <v>45584</v>
      </c>
      <c r="B1149" t="s">
        <v>10</v>
      </c>
      <c r="C1149" t="s">
        <v>22</v>
      </c>
      <c r="D1149" t="s">
        <v>36</v>
      </c>
      <c r="E1149">
        <v>10</v>
      </c>
      <c r="F1149">
        <v>249</v>
      </c>
      <c r="G1149" t="s">
        <v>40</v>
      </c>
      <c r="H1149">
        <v>2490</v>
      </c>
      <c r="I1149">
        <v>2140.876567265113</v>
      </c>
      <c r="J1149">
        <v>349.12343273488699</v>
      </c>
    </row>
    <row r="1150" spans="1:10" x14ac:dyDescent="0.35">
      <c r="A1150" s="1">
        <v>45619</v>
      </c>
      <c r="B1150" t="s">
        <v>50</v>
      </c>
      <c r="C1150" t="s">
        <v>21</v>
      </c>
      <c r="D1150" t="s">
        <v>36</v>
      </c>
      <c r="E1150">
        <v>15</v>
      </c>
      <c r="F1150">
        <v>245</v>
      </c>
      <c r="G1150" t="s">
        <v>40</v>
      </c>
      <c r="H1150">
        <v>3675</v>
      </c>
      <c r="I1150">
        <v>3246.5723112880291</v>
      </c>
      <c r="J1150">
        <v>428.42768871197092</v>
      </c>
    </row>
    <row r="1151" spans="1:10" x14ac:dyDescent="0.35">
      <c r="A1151" s="1">
        <v>45418</v>
      </c>
      <c r="B1151" t="s">
        <v>11</v>
      </c>
      <c r="C1151" t="s">
        <v>19</v>
      </c>
      <c r="D1151" t="s">
        <v>31</v>
      </c>
      <c r="E1151">
        <v>7</v>
      </c>
      <c r="F1151">
        <v>815</v>
      </c>
      <c r="G1151" t="s">
        <v>40</v>
      </c>
      <c r="H1151">
        <v>5705</v>
      </c>
      <c r="I1151">
        <v>4560.2523220142893</v>
      </c>
      <c r="J1151">
        <v>1144.7476779857111</v>
      </c>
    </row>
    <row r="1152" spans="1:10" x14ac:dyDescent="0.35">
      <c r="A1152" s="1">
        <v>45397</v>
      </c>
      <c r="B1152" t="s">
        <v>10</v>
      </c>
      <c r="C1152" t="s">
        <v>17</v>
      </c>
      <c r="D1152" t="s">
        <v>37</v>
      </c>
      <c r="E1152">
        <v>18</v>
      </c>
      <c r="F1152">
        <v>973</v>
      </c>
      <c r="G1152" t="s">
        <v>38</v>
      </c>
      <c r="H1152">
        <v>17514</v>
      </c>
      <c r="I1152">
        <v>13041.002650234739</v>
      </c>
      <c r="J1152">
        <v>4472.9973497652554</v>
      </c>
    </row>
    <row r="1153" spans="1:10" x14ac:dyDescent="0.35">
      <c r="A1153" s="1">
        <v>45383</v>
      </c>
      <c r="B1153" t="s">
        <v>11</v>
      </c>
      <c r="C1153" t="s">
        <v>23</v>
      </c>
      <c r="D1153" t="s">
        <v>33</v>
      </c>
      <c r="E1153">
        <v>16</v>
      </c>
      <c r="F1153">
        <v>398</v>
      </c>
      <c r="G1153" t="s">
        <v>39</v>
      </c>
      <c r="H1153">
        <v>6368</v>
      </c>
      <c r="I1153">
        <v>4493.7977765803589</v>
      </c>
      <c r="J1153">
        <v>1874.2022234196411</v>
      </c>
    </row>
    <row r="1154" spans="1:10" x14ac:dyDescent="0.35">
      <c r="A1154" s="1">
        <v>45578</v>
      </c>
      <c r="B1154" t="s">
        <v>10</v>
      </c>
      <c r="C1154" t="s">
        <v>27</v>
      </c>
      <c r="D1154" t="s">
        <v>35</v>
      </c>
      <c r="E1154">
        <v>14</v>
      </c>
      <c r="F1154">
        <v>1290</v>
      </c>
      <c r="G1154" t="s">
        <v>38</v>
      </c>
      <c r="H1154">
        <v>18060</v>
      </c>
      <c r="I1154">
        <v>13495.83215921794</v>
      </c>
      <c r="J1154">
        <v>4564.16784078206</v>
      </c>
    </row>
    <row r="1155" spans="1:10" x14ac:dyDescent="0.35">
      <c r="A1155" s="1">
        <v>45342</v>
      </c>
      <c r="B1155" t="s">
        <v>10</v>
      </c>
      <c r="C1155" t="s">
        <v>18</v>
      </c>
      <c r="D1155" t="s">
        <v>34</v>
      </c>
      <c r="E1155">
        <v>18</v>
      </c>
      <c r="F1155">
        <v>1836</v>
      </c>
      <c r="G1155" t="s">
        <v>39</v>
      </c>
      <c r="H1155">
        <v>33048</v>
      </c>
      <c r="I1155">
        <v>21716.028132855488</v>
      </c>
      <c r="J1155">
        <v>11331.97186714451</v>
      </c>
    </row>
    <row r="1156" spans="1:10" x14ac:dyDescent="0.35">
      <c r="A1156" s="1">
        <v>45320</v>
      </c>
      <c r="B1156" t="s">
        <v>13</v>
      </c>
      <c r="C1156" t="s">
        <v>24</v>
      </c>
      <c r="D1156" t="s">
        <v>31</v>
      </c>
      <c r="E1156">
        <v>7</v>
      </c>
      <c r="F1156">
        <v>745</v>
      </c>
      <c r="G1156" t="s">
        <v>40</v>
      </c>
      <c r="H1156">
        <v>5215</v>
      </c>
      <c r="I1156">
        <v>3674.1072324660358</v>
      </c>
      <c r="J1156">
        <v>1540.8927675339639</v>
      </c>
    </row>
    <row r="1157" spans="1:10" x14ac:dyDescent="0.35">
      <c r="A1157" s="1">
        <v>45587</v>
      </c>
      <c r="B1157" t="s">
        <v>11</v>
      </c>
      <c r="C1157" t="s">
        <v>17</v>
      </c>
      <c r="D1157" t="s">
        <v>35</v>
      </c>
      <c r="E1157">
        <v>17</v>
      </c>
      <c r="F1157">
        <v>822</v>
      </c>
      <c r="G1157" t="s">
        <v>38</v>
      </c>
      <c r="H1157">
        <v>13974</v>
      </c>
      <c r="I1157">
        <v>11394.10834621118</v>
      </c>
      <c r="J1157">
        <v>2579.8916537888181</v>
      </c>
    </row>
    <row r="1158" spans="1:10" x14ac:dyDescent="0.35">
      <c r="A1158" s="1">
        <v>45588</v>
      </c>
      <c r="B1158" t="s">
        <v>10</v>
      </c>
      <c r="C1158" t="s">
        <v>24</v>
      </c>
      <c r="D1158" t="s">
        <v>30</v>
      </c>
      <c r="E1158">
        <v>18</v>
      </c>
      <c r="F1158">
        <v>1171</v>
      </c>
      <c r="G1158" t="s">
        <v>40</v>
      </c>
      <c r="H1158">
        <v>21078</v>
      </c>
      <c r="I1158">
        <v>14021.65241567008</v>
      </c>
      <c r="J1158">
        <v>7056.3475843299166</v>
      </c>
    </row>
    <row r="1159" spans="1:10" x14ac:dyDescent="0.35">
      <c r="A1159" s="1">
        <v>45505</v>
      </c>
      <c r="B1159" t="s">
        <v>11</v>
      </c>
      <c r="C1159" t="s">
        <v>21</v>
      </c>
      <c r="D1159" t="s">
        <v>36</v>
      </c>
      <c r="E1159">
        <v>12</v>
      </c>
      <c r="F1159">
        <v>737</v>
      </c>
      <c r="G1159" t="s">
        <v>40</v>
      </c>
      <c r="H1159">
        <v>8844</v>
      </c>
      <c r="I1159">
        <v>6007.0229243693684</v>
      </c>
      <c r="J1159">
        <v>2836.977075630632</v>
      </c>
    </row>
    <row r="1160" spans="1:10" x14ac:dyDescent="0.35">
      <c r="A1160" s="1">
        <v>45558</v>
      </c>
      <c r="B1160" t="s">
        <v>13</v>
      </c>
      <c r="C1160" t="s">
        <v>22</v>
      </c>
      <c r="D1160" t="s">
        <v>31</v>
      </c>
      <c r="E1160">
        <v>8</v>
      </c>
      <c r="F1160">
        <v>338</v>
      </c>
      <c r="G1160" t="s">
        <v>40</v>
      </c>
      <c r="H1160">
        <v>2704</v>
      </c>
      <c r="I1160">
        <v>2230.2550810302068</v>
      </c>
      <c r="J1160">
        <v>473.74491896979322</v>
      </c>
    </row>
    <row r="1161" spans="1:10" x14ac:dyDescent="0.35">
      <c r="A1161" s="1">
        <v>45548</v>
      </c>
      <c r="B1161" t="s">
        <v>13</v>
      </c>
      <c r="C1161" t="s">
        <v>22</v>
      </c>
      <c r="D1161" t="s">
        <v>30</v>
      </c>
      <c r="E1161">
        <v>2</v>
      </c>
      <c r="F1161">
        <v>1130</v>
      </c>
      <c r="G1161" t="s">
        <v>40</v>
      </c>
      <c r="H1161">
        <v>2260</v>
      </c>
      <c r="I1161">
        <v>1476.5727644908559</v>
      </c>
      <c r="J1161">
        <v>783.42723550914434</v>
      </c>
    </row>
    <row r="1162" spans="1:10" x14ac:dyDescent="0.35">
      <c r="A1162" s="1">
        <v>45593</v>
      </c>
      <c r="B1162" t="s">
        <v>11</v>
      </c>
      <c r="C1162" t="s">
        <v>22</v>
      </c>
      <c r="D1162" t="s">
        <v>31</v>
      </c>
      <c r="E1162">
        <v>7</v>
      </c>
      <c r="F1162">
        <v>563</v>
      </c>
      <c r="G1162" t="s">
        <v>40</v>
      </c>
      <c r="H1162">
        <v>3941</v>
      </c>
      <c r="I1162">
        <v>2655.312893487474</v>
      </c>
      <c r="J1162">
        <v>1285.687106512526</v>
      </c>
    </row>
    <row r="1163" spans="1:10" x14ac:dyDescent="0.35">
      <c r="A1163" s="1">
        <v>45392</v>
      </c>
      <c r="B1163" t="s">
        <v>50</v>
      </c>
      <c r="C1163" t="s">
        <v>18</v>
      </c>
      <c r="D1163" t="s">
        <v>32</v>
      </c>
      <c r="E1163">
        <v>4</v>
      </c>
      <c r="F1163">
        <v>552</v>
      </c>
      <c r="G1163" t="s">
        <v>39</v>
      </c>
      <c r="H1163">
        <v>2208</v>
      </c>
      <c r="I1163">
        <v>1336.423505613724</v>
      </c>
      <c r="J1163">
        <v>871.57649438627641</v>
      </c>
    </row>
    <row r="1164" spans="1:10" x14ac:dyDescent="0.35">
      <c r="A1164" s="1">
        <v>45637</v>
      </c>
      <c r="B1164" t="s">
        <v>12</v>
      </c>
      <c r="C1164" t="s">
        <v>24</v>
      </c>
      <c r="D1164" t="s">
        <v>30</v>
      </c>
      <c r="E1164">
        <v>18</v>
      </c>
      <c r="F1164">
        <v>883</v>
      </c>
      <c r="G1164" t="s">
        <v>40</v>
      </c>
      <c r="H1164">
        <v>15894</v>
      </c>
      <c r="I1164">
        <v>12969.7500369033</v>
      </c>
      <c r="J1164">
        <v>2924.2499630967031</v>
      </c>
    </row>
    <row r="1165" spans="1:10" x14ac:dyDescent="0.35">
      <c r="A1165" s="1">
        <v>45401</v>
      </c>
      <c r="B1165" t="s">
        <v>12</v>
      </c>
      <c r="C1165" t="s">
        <v>17</v>
      </c>
      <c r="D1165" t="s">
        <v>36</v>
      </c>
      <c r="E1165">
        <v>6</v>
      </c>
      <c r="F1165">
        <v>996</v>
      </c>
      <c r="G1165" t="s">
        <v>38</v>
      </c>
      <c r="H1165">
        <v>5976</v>
      </c>
      <c r="I1165">
        <v>4693.3775123475016</v>
      </c>
      <c r="J1165">
        <v>1282.622487652498</v>
      </c>
    </row>
    <row r="1166" spans="1:10" x14ac:dyDescent="0.35">
      <c r="A1166" s="1">
        <v>45473</v>
      </c>
      <c r="B1166" t="s">
        <v>13</v>
      </c>
      <c r="C1166" t="s">
        <v>22</v>
      </c>
      <c r="D1166" t="s">
        <v>36</v>
      </c>
      <c r="E1166">
        <v>9</v>
      </c>
      <c r="F1166">
        <v>470</v>
      </c>
      <c r="G1166" t="s">
        <v>40</v>
      </c>
      <c r="H1166">
        <v>4230</v>
      </c>
      <c r="I1166">
        <v>3419.1751392371461</v>
      </c>
      <c r="J1166">
        <v>810.82486076285386</v>
      </c>
    </row>
    <row r="1167" spans="1:10" x14ac:dyDescent="0.35">
      <c r="A1167" s="1">
        <v>45604</v>
      </c>
      <c r="B1167" t="s">
        <v>12</v>
      </c>
      <c r="C1167" t="s">
        <v>17</v>
      </c>
      <c r="D1167" t="s">
        <v>37</v>
      </c>
      <c r="E1167">
        <v>9</v>
      </c>
      <c r="F1167">
        <v>1672</v>
      </c>
      <c r="G1167" t="s">
        <v>38</v>
      </c>
      <c r="H1167">
        <v>15048</v>
      </c>
      <c r="I1167">
        <v>9996.3612485620361</v>
      </c>
      <c r="J1167">
        <v>5051.6387514379639</v>
      </c>
    </row>
    <row r="1168" spans="1:10" x14ac:dyDescent="0.35">
      <c r="A1168" s="1">
        <v>45292</v>
      </c>
      <c r="B1168" t="s">
        <v>14</v>
      </c>
      <c r="C1168" t="s">
        <v>24</v>
      </c>
      <c r="D1168" t="s">
        <v>31</v>
      </c>
      <c r="E1168">
        <v>14</v>
      </c>
      <c r="F1168">
        <v>586</v>
      </c>
      <c r="G1168" t="s">
        <v>40</v>
      </c>
      <c r="H1168">
        <v>8204</v>
      </c>
      <c r="I1168">
        <v>6614.1707728594374</v>
      </c>
      <c r="J1168">
        <v>1589.829227140563</v>
      </c>
    </row>
    <row r="1169" spans="1:10" x14ac:dyDescent="0.35">
      <c r="A1169" s="1">
        <v>45610</v>
      </c>
      <c r="B1169" t="s">
        <v>50</v>
      </c>
      <c r="C1169" t="s">
        <v>18</v>
      </c>
      <c r="D1169" t="s">
        <v>34</v>
      </c>
      <c r="E1169">
        <v>8</v>
      </c>
      <c r="F1169">
        <v>1334</v>
      </c>
      <c r="G1169" t="s">
        <v>39</v>
      </c>
      <c r="H1169">
        <v>10672</v>
      </c>
      <c r="I1169">
        <v>8312.5593792067302</v>
      </c>
      <c r="J1169">
        <v>2359.4406207932702</v>
      </c>
    </row>
    <row r="1170" spans="1:10" x14ac:dyDescent="0.35">
      <c r="A1170" s="1">
        <v>45346</v>
      </c>
      <c r="B1170" t="s">
        <v>10</v>
      </c>
      <c r="C1170" t="s">
        <v>21</v>
      </c>
      <c r="D1170" t="s">
        <v>36</v>
      </c>
      <c r="E1170">
        <v>19</v>
      </c>
      <c r="F1170">
        <v>264</v>
      </c>
      <c r="G1170" t="s">
        <v>40</v>
      </c>
      <c r="H1170">
        <v>5016</v>
      </c>
      <c r="I1170">
        <v>3560.54185913327</v>
      </c>
      <c r="J1170">
        <v>1455.45814086673</v>
      </c>
    </row>
    <row r="1171" spans="1:10" x14ac:dyDescent="0.35">
      <c r="A1171" s="1">
        <v>45440</v>
      </c>
      <c r="B1171" t="s">
        <v>11</v>
      </c>
      <c r="C1171" t="s">
        <v>18</v>
      </c>
      <c r="D1171" t="s">
        <v>31</v>
      </c>
      <c r="E1171">
        <v>3</v>
      </c>
      <c r="F1171">
        <v>1248</v>
      </c>
      <c r="G1171" t="s">
        <v>39</v>
      </c>
      <c r="H1171">
        <v>3744</v>
      </c>
      <c r="I1171">
        <v>2738.1659516277632</v>
      </c>
      <c r="J1171">
        <v>1005.834048372237</v>
      </c>
    </row>
    <row r="1172" spans="1:10" x14ac:dyDescent="0.35">
      <c r="A1172" s="1">
        <v>45600</v>
      </c>
      <c r="B1172" t="s">
        <v>13</v>
      </c>
      <c r="C1172" t="s">
        <v>17</v>
      </c>
      <c r="D1172" t="s">
        <v>37</v>
      </c>
      <c r="E1172">
        <v>18</v>
      </c>
      <c r="F1172">
        <v>1460</v>
      </c>
      <c r="G1172" t="s">
        <v>38</v>
      </c>
      <c r="H1172">
        <v>26280</v>
      </c>
      <c r="I1172">
        <v>20245.485247807552</v>
      </c>
      <c r="J1172">
        <v>6034.5147521924519</v>
      </c>
    </row>
    <row r="1173" spans="1:10" x14ac:dyDescent="0.35">
      <c r="A1173" s="1">
        <v>45428</v>
      </c>
      <c r="B1173" t="s">
        <v>10</v>
      </c>
      <c r="C1173" t="s">
        <v>18</v>
      </c>
      <c r="D1173" t="s">
        <v>34</v>
      </c>
      <c r="E1173">
        <v>5</v>
      </c>
      <c r="F1173">
        <v>291</v>
      </c>
      <c r="G1173" t="s">
        <v>39</v>
      </c>
      <c r="H1173">
        <v>1455</v>
      </c>
      <c r="I1173">
        <v>1088.322034862219</v>
      </c>
      <c r="J1173">
        <v>366.67796513778148</v>
      </c>
    </row>
    <row r="1174" spans="1:10" x14ac:dyDescent="0.35">
      <c r="A1174" s="1">
        <v>45493</v>
      </c>
      <c r="B1174" t="s">
        <v>13</v>
      </c>
      <c r="C1174" t="s">
        <v>18</v>
      </c>
      <c r="D1174" t="s">
        <v>30</v>
      </c>
      <c r="E1174">
        <v>14</v>
      </c>
      <c r="F1174">
        <v>829</v>
      </c>
      <c r="G1174" t="s">
        <v>39</v>
      </c>
      <c r="H1174">
        <v>11606</v>
      </c>
      <c r="I1174">
        <v>9198.3169600921574</v>
      </c>
      <c r="J1174">
        <v>2407.6830399078431</v>
      </c>
    </row>
    <row r="1175" spans="1:10" x14ac:dyDescent="0.35">
      <c r="A1175" s="1">
        <v>45604</v>
      </c>
      <c r="B1175" t="s">
        <v>13</v>
      </c>
      <c r="C1175" t="s">
        <v>21</v>
      </c>
      <c r="D1175" t="s">
        <v>37</v>
      </c>
      <c r="E1175">
        <v>4</v>
      </c>
      <c r="F1175">
        <v>313</v>
      </c>
      <c r="G1175" t="s">
        <v>40</v>
      </c>
      <c r="H1175">
        <v>1252</v>
      </c>
      <c r="I1175">
        <v>819.17592934881179</v>
      </c>
      <c r="J1175">
        <v>432.82407065118821</v>
      </c>
    </row>
    <row r="1176" spans="1:10" x14ac:dyDescent="0.35">
      <c r="A1176" s="1">
        <v>45408</v>
      </c>
      <c r="B1176" t="s">
        <v>11</v>
      </c>
      <c r="C1176" t="s">
        <v>24</v>
      </c>
      <c r="D1176" t="s">
        <v>32</v>
      </c>
      <c r="E1176">
        <v>7</v>
      </c>
      <c r="F1176">
        <v>673</v>
      </c>
      <c r="G1176" t="s">
        <v>40</v>
      </c>
      <c r="H1176">
        <v>4711</v>
      </c>
      <c r="I1176">
        <v>3590.785379283061</v>
      </c>
      <c r="J1176">
        <v>1120.214620716939</v>
      </c>
    </row>
    <row r="1177" spans="1:10" x14ac:dyDescent="0.35">
      <c r="A1177" s="1">
        <v>45445</v>
      </c>
      <c r="B1177" t="s">
        <v>11</v>
      </c>
      <c r="C1177" t="s">
        <v>24</v>
      </c>
      <c r="D1177" t="s">
        <v>34</v>
      </c>
      <c r="E1177">
        <v>12</v>
      </c>
      <c r="F1177">
        <v>1451</v>
      </c>
      <c r="G1177" t="s">
        <v>40</v>
      </c>
      <c r="H1177">
        <v>17412</v>
      </c>
      <c r="I1177">
        <v>12799.27990669121</v>
      </c>
      <c r="J1177">
        <v>4612.7200933087861</v>
      </c>
    </row>
    <row r="1178" spans="1:10" x14ac:dyDescent="0.35">
      <c r="A1178" s="1">
        <v>45582</v>
      </c>
      <c r="B1178" t="s">
        <v>11</v>
      </c>
      <c r="C1178" t="s">
        <v>20</v>
      </c>
      <c r="D1178" t="s">
        <v>31</v>
      </c>
      <c r="E1178">
        <v>2</v>
      </c>
      <c r="F1178">
        <v>1056</v>
      </c>
      <c r="G1178" t="s">
        <v>38</v>
      </c>
      <c r="H1178">
        <v>2112</v>
      </c>
      <c r="I1178">
        <v>1559.302585007269</v>
      </c>
      <c r="J1178">
        <v>552.69741499273073</v>
      </c>
    </row>
    <row r="1179" spans="1:10" x14ac:dyDescent="0.35">
      <c r="A1179" s="1">
        <v>45354</v>
      </c>
      <c r="B1179" t="s">
        <v>10</v>
      </c>
      <c r="C1179" t="s">
        <v>18</v>
      </c>
      <c r="D1179" t="s">
        <v>36</v>
      </c>
      <c r="E1179">
        <v>11</v>
      </c>
      <c r="F1179">
        <v>480</v>
      </c>
      <c r="G1179" t="s">
        <v>39</v>
      </c>
      <c r="H1179">
        <v>5280</v>
      </c>
      <c r="I1179">
        <v>3911.5011681228311</v>
      </c>
      <c r="J1179">
        <v>1368.4988318771691</v>
      </c>
    </row>
    <row r="1180" spans="1:10" x14ac:dyDescent="0.35">
      <c r="A1180" s="1">
        <v>45535</v>
      </c>
      <c r="B1180" t="s">
        <v>12</v>
      </c>
      <c r="C1180" t="s">
        <v>24</v>
      </c>
      <c r="D1180" t="s">
        <v>36</v>
      </c>
      <c r="E1180">
        <v>14</v>
      </c>
      <c r="F1180">
        <v>772</v>
      </c>
      <c r="G1180" t="s">
        <v>40</v>
      </c>
      <c r="H1180">
        <v>10808</v>
      </c>
      <c r="I1180">
        <v>9342.8846954974815</v>
      </c>
      <c r="J1180">
        <v>1465.115304502518</v>
      </c>
    </row>
    <row r="1181" spans="1:10" x14ac:dyDescent="0.35">
      <c r="A1181" s="1">
        <v>45316</v>
      </c>
      <c r="B1181" t="s">
        <v>11</v>
      </c>
      <c r="C1181" t="s">
        <v>24</v>
      </c>
      <c r="D1181" t="s">
        <v>31</v>
      </c>
      <c r="E1181">
        <v>16</v>
      </c>
      <c r="F1181">
        <v>1701</v>
      </c>
      <c r="G1181" t="s">
        <v>40</v>
      </c>
      <c r="H1181">
        <v>27216</v>
      </c>
      <c r="I1181">
        <v>23013.529331392241</v>
      </c>
      <c r="J1181">
        <v>4202.4706686077616</v>
      </c>
    </row>
    <row r="1182" spans="1:10" x14ac:dyDescent="0.35">
      <c r="A1182" s="1">
        <v>45381</v>
      </c>
      <c r="B1182" t="s">
        <v>11</v>
      </c>
      <c r="C1182" t="s">
        <v>19</v>
      </c>
      <c r="D1182" t="s">
        <v>31</v>
      </c>
      <c r="E1182">
        <v>6</v>
      </c>
      <c r="F1182">
        <v>897</v>
      </c>
      <c r="G1182" t="s">
        <v>40</v>
      </c>
      <c r="H1182">
        <v>5382</v>
      </c>
      <c r="I1182">
        <v>4245.7036593059493</v>
      </c>
      <c r="J1182">
        <v>1136.296340694051</v>
      </c>
    </row>
    <row r="1183" spans="1:10" x14ac:dyDescent="0.35">
      <c r="A1183" s="1">
        <v>45366</v>
      </c>
      <c r="B1183" t="s">
        <v>10</v>
      </c>
      <c r="C1183" t="s">
        <v>22</v>
      </c>
      <c r="D1183" t="s">
        <v>31</v>
      </c>
      <c r="E1183">
        <v>4</v>
      </c>
      <c r="F1183">
        <v>338</v>
      </c>
      <c r="G1183" t="s">
        <v>40</v>
      </c>
      <c r="H1183">
        <v>1352</v>
      </c>
      <c r="I1183">
        <v>1101.807101080321</v>
      </c>
      <c r="J1183">
        <v>250.19289891967921</v>
      </c>
    </row>
    <row r="1184" spans="1:10" x14ac:dyDescent="0.35">
      <c r="A1184" s="1">
        <v>45585</v>
      </c>
      <c r="B1184" t="s">
        <v>11</v>
      </c>
      <c r="C1184" t="s">
        <v>20</v>
      </c>
      <c r="D1184" t="s">
        <v>33</v>
      </c>
      <c r="E1184">
        <v>15</v>
      </c>
      <c r="F1184">
        <v>1655</v>
      </c>
      <c r="G1184" t="s">
        <v>38</v>
      </c>
      <c r="H1184">
        <v>24825</v>
      </c>
      <c r="I1184">
        <v>15213.772632117219</v>
      </c>
      <c r="J1184">
        <v>9611.2273678827769</v>
      </c>
    </row>
    <row r="1185" spans="1:10" x14ac:dyDescent="0.35">
      <c r="A1185" s="1">
        <v>45501</v>
      </c>
      <c r="B1185" t="s">
        <v>10</v>
      </c>
      <c r="C1185" t="s">
        <v>23</v>
      </c>
      <c r="D1185" t="s">
        <v>34</v>
      </c>
      <c r="E1185">
        <v>1</v>
      </c>
      <c r="F1185">
        <v>799</v>
      </c>
      <c r="G1185" t="s">
        <v>39</v>
      </c>
      <c r="H1185">
        <v>799</v>
      </c>
      <c r="I1185">
        <v>657.73481513530658</v>
      </c>
      <c r="J1185">
        <v>141.2651848646934</v>
      </c>
    </row>
    <row r="1186" spans="1:10" x14ac:dyDescent="0.35">
      <c r="A1186" s="1">
        <v>45638</v>
      </c>
      <c r="B1186" t="s">
        <v>13</v>
      </c>
      <c r="C1186" t="s">
        <v>20</v>
      </c>
      <c r="D1186" t="s">
        <v>36</v>
      </c>
      <c r="E1186">
        <v>7</v>
      </c>
      <c r="F1186">
        <v>1205</v>
      </c>
      <c r="G1186" t="s">
        <v>38</v>
      </c>
      <c r="H1186">
        <v>8435</v>
      </c>
      <c r="I1186">
        <v>6291.2397441319572</v>
      </c>
      <c r="J1186">
        <v>2143.7602558680428</v>
      </c>
    </row>
    <row r="1187" spans="1:10" x14ac:dyDescent="0.35">
      <c r="A1187" s="1">
        <v>45308</v>
      </c>
      <c r="B1187" t="s">
        <v>11</v>
      </c>
      <c r="C1187" t="s">
        <v>20</v>
      </c>
      <c r="D1187" t="s">
        <v>34</v>
      </c>
      <c r="E1187">
        <v>12</v>
      </c>
      <c r="F1187">
        <v>1486</v>
      </c>
      <c r="G1187" t="s">
        <v>38</v>
      </c>
      <c r="H1187">
        <v>17832</v>
      </c>
      <c r="I1187">
        <v>12399.022371306661</v>
      </c>
      <c r="J1187">
        <v>5432.9776286933366</v>
      </c>
    </row>
    <row r="1188" spans="1:10" x14ac:dyDescent="0.35">
      <c r="A1188" s="1">
        <v>45419</v>
      </c>
      <c r="B1188" t="s">
        <v>11</v>
      </c>
      <c r="C1188" t="s">
        <v>23</v>
      </c>
      <c r="D1188" t="s">
        <v>37</v>
      </c>
      <c r="E1188">
        <v>10</v>
      </c>
      <c r="F1188">
        <v>604</v>
      </c>
      <c r="G1188" t="s">
        <v>39</v>
      </c>
      <c r="H1188">
        <v>6040</v>
      </c>
      <c r="I1188">
        <v>3877.2758622799151</v>
      </c>
      <c r="J1188">
        <v>2162.7241377200849</v>
      </c>
    </row>
    <row r="1189" spans="1:10" x14ac:dyDescent="0.35">
      <c r="A1189" s="1">
        <v>45655</v>
      </c>
      <c r="B1189" t="s">
        <v>13</v>
      </c>
      <c r="C1189" t="s">
        <v>19</v>
      </c>
      <c r="D1189" t="s">
        <v>36</v>
      </c>
      <c r="E1189">
        <v>5</v>
      </c>
      <c r="F1189">
        <v>301</v>
      </c>
      <c r="G1189" t="s">
        <v>40</v>
      </c>
      <c r="H1189">
        <v>1505</v>
      </c>
      <c r="I1189">
        <v>936.95676884392435</v>
      </c>
      <c r="J1189">
        <v>568.04323115607565</v>
      </c>
    </row>
    <row r="1190" spans="1:10" x14ac:dyDescent="0.35">
      <c r="A1190" s="1">
        <v>45542</v>
      </c>
      <c r="B1190" t="s">
        <v>13</v>
      </c>
      <c r="C1190" t="s">
        <v>18</v>
      </c>
      <c r="E1190">
        <v>12</v>
      </c>
      <c r="F1190">
        <v>1019</v>
      </c>
      <c r="G1190" t="s">
        <v>39</v>
      </c>
      <c r="H1190">
        <v>12228</v>
      </c>
      <c r="I1190">
        <v>7501.4586486761791</v>
      </c>
      <c r="J1190">
        <v>4726.5413513238209</v>
      </c>
    </row>
    <row r="1191" spans="1:10" x14ac:dyDescent="0.35">
      <c r="A1191" s="1">
        <v>45470</v>
      </c>
      <c r="B1191" t="s">
        <v>13</v>
      </c>
      <c r="C1191" t="s">
        <v>21</v>
      </c>
      <c r="D1191" t="s">
        <v>31</v>
      </c>
      <c r="E1191">
        <v>18</v>
      </c>
      <c r="F1191">
        <v>1627</v>
      </c>
      <c r="G1191" t="s">
        <v>40</v>
      </c>
      <c r="H1191">
        <v>29286</v>
      </c>
      <c r="I1191">
        <v>18993.108833350681</v>
      </c>
      <c r="J1191">
        <v>10292.89116664932</v>
      </c>
    </row>
    <row r="1192" spans="1:10" x14ac:dyDescent="0.35">
      <c r="A1192" s="1">
        <v>45473</v>
      </c>
      <c r="B1192" t="s">
        <v>11</v>
      </c>
      <c r="C1192" t="s">
        <v>24</v>
      </c>
      <c r="D1192" t="s">
        <v>32</v>
      </c>
      <c r="E1192">
        <v>10</v>
      </c>
      <c r="F1192">
        <v>1767</v>
      </c>
      <c r="G1192" t="s">
        <v>40</v>
      </c>
      <c r="H1192">
        <v>17670</v>
      </c>
      <c r="I1192">
        <v>10761.79225622283</v>
      </c>
      <c r="J1192">
        <v>6908.2077437771732</v>
      </c>
    </row>
    <row r="1193" spans="1:10" x14ac:dyDescent="0.35">
      <c r="A1193" s="1">
        <v>45443</v>
      </c>
      <c r="B1193" t="s">
        <v>12</v>
      </c>
      <c r="C1193" t="s">
        <v>22</v>
      </c>
      <c r="D1193" t="s">
        <v>31</v>
      </c>
      <c r="E1193">
        <v>6</v>
      </c>
      <c r="F1193">
        <v>136</v>
      </c>
      <c r="G1193" t="s">
        <v>40</v>
      </c>
      <c r="H1193">
        <v>816</v>
      </c>
      <c r="I1193">
        <v>668.95082094992904</v>
      </c>
      <c r="J1193">
        <v>147.04917905007099</v>
      </c>
    </row>
    <row r="1194" spans="1:10" x14ac:dyDescent="0.35">
      <c r="A1194" s="1">
        <v>45316</v>
      </c>
      <c r="B1194" t="s">
        <v>12</v>
      </c>
      <c r="C1194" t="s">
        <v>17</v>
      </c>
      <c r="D1194" t="s">
        <v>30</v>
      </c>
      <c r="E1194">
        <v>12</v>
      </c>
      <c r="F1194">
        <v>743</v>
      </c>
      <c r="G1194" t="s">
        <v>38</v>
      </c>
      <c r="H1194">
        <v>8916</v>
      </c>
      <c r="I1194">
        <v>6014.5930455593498</v>
      </c>
      <c r="J1194">
        <v>2901.4069544406502</v>
      </c>
    </row>
    <row r="1195" spans="1:10" x14ac:dyDescent="0.35">
      <c r="A1195" s="1">
        <v>45471</v>
      </c>
      <c r="B1195" t="s">
        <v>12</v>
      </c>
      <c r="C1195" t="s">
        <v>18</v>
      </c>
      <c r="D1195" t="s">
        <v>31</v>
      </c>
      <c r="E1195">
        <v>7</v>
      </c>
      <c r="F1195">
        <v>1712</v>
      </c>
      <c r="G1195" t="s">
        <v>39</v>
      </c>
      <c r="H1195">
        <v>11984</v>
      </c>
      <c r="I1195">
        <v>8516.0955829059603</v>
      </c>
      <c r="J1195">
        <v>3467.9044170940401</v>
      </c>
    </row>
    <row r="1196" spans="1:10" x14ac:dyDescent="0.35">
      <c r="A1196" s="1">
        <v>45489</v>
      </c>
      <c r="B1196" t="s">
        <v>11</v>
      </c>
      <c r="C1196" t="s">
        <v>23</v>
      </c>
      <c r="D1196" t="s">
        <v>33</v>
      </c>
      <c r="E1196">
        <v>18</v>
      </c>
      <c r="F1196">
        <v>1724</v>
      </c>
      <c r="G1196" t="s">
        <v>39</v>
      </c>
      <c r="H1196">
        <v>31032</v>
      </c>
      <c r="I1196">
        <v>26278.35886414034</v>
      </c>
      <c r="J1196">
        <v>4753.6411358596561</v>
      </c>
    </row>
    <row r="1197" spans="1:10" x14ac:dyDescent="0.35">
      <c r="A1197" s="1">
        <v>45635</v>
      </c>
      <c r="B1197" t="s">
        <v>13</v>
      </c>
      <c r="C1197" t="s">
        <v>21</v>
      </c>
      <c r="D1197" t="s">
        <v>34</v>
      </c>
      <c r="E1197">
        <v>2</v>
      </c>
      <c r="F1197">
        <v>1525</v>
      </c>
      <c r="G1197" t="s">
        <v>40</v>
      </c>
      <c r="H1197">
        <v>3050</v>
      </c>
      <c r="I1197">
        <v>1934.91160932</v>
      </c>
      <c r="J1197">
        <v>1115.08839068</v>
      </c>
    </row>
    <row r="1198" spans="1:10" x14ac:dyDescent="0.35">
      <c r="A1198" s="1">
        <v>45452</v>
      </c>
      <c r="B1198" t="s">
        <v>11</v>
      </c>
      <c r="C1198" t="s">
        <v>18</v>
      </c>
      <c r="D1198" t="s">
        <v>36</v>
      </c>
      <c r="E1198">
        <v>10</v>
      </c>
      <c r="F1198">
        <v>864</v>
      </c>
      <c r="G1198" t="s">
        <v>39</v>
      </c>
      <c r="H1198">
        <v>8640</v>
      </c>
      <c r="I1198">
        <v>7349.8597263722631</v>
      </c>
      <c r="J1198">
        <v>1290.1402736277371</v>
      </c>
    </row>
    <row r="1199" spans="1:10" x14ac:dyDescent="0.35">
      <c r="A1199" s="1">
        <v>45468</v>
      </c>
      <c r="B1199" t="s">
        <v>13</v>
      </c>
      <c r="C1199" t="s">
        <v>23</v>
      </c>
      <c r="D1199" t="s">
        <v>31</v>
      </c>
      <c r="E1199">
        <v>15</v>
      </c>
      <c r="F1199">
        <v>1979</v>
      </c>
      <c r="G1199" t="s">
        <v>39</v>
      </c>
      <c r="H1199">
        <v>29685</v>
      </c>
      <c r="I1199">
        <v>23506.426591825591</v>
      </c>
      <c r="J1199">
        <v>6178.5734081744095</v>
      </c>
    </row>
    <row r="1200" spans="1:10" x14ac:dyDescent="0.35">
      <c r="A1200" s="1">
        <v>45576</v>
      </c>
      <c r="B1200" t="s">
        <v>11</v>
      </c>
      <c r="C1200" t="s">
        <v>24</v>
      </c>
      <c r="D1200" t="s">
        <v>36</v>
      </c>
      <c r="E1200">
        <v>12</v>
      </c>
      <c r="F1200">
        <v>805</v>
      </c>
      <c r="G1200" t="s">
        <v>40</v>
      </c>
      <c r="H1200">
        <v>9660</v>
      </c>
      <c r="I1200">
        <v>6787.2015333241388</v>
      </c>
      <c r="J1200">
        <v>2872.7984666758612</v>
      </c>
    </row>
    <row r="1201" spans="1:10" x14ac:dyDescent="0.35">
      <c r="A1201" s="1">
        <v>45354</v>
      </c>
      <c r="B1201" t="s">
        <v>11</v>
      </c>
      <c r="C1201" t="s">
        <v>19</v>
      </c>
      <c r="D1201" t="s">
        <v>35</v>
      </c>
      <c r="E1201">
        <v>17</v>
      </c>
      <c r="F1201">
        <v>1299</v>
      </c>
      <c r="G1201" t="s">
        <v>40</v>
      </c>
      <c r="H1201">
        <v>22083</v>
      </c>
      <c r="I1201">
        <v>14030.2610058521</v>
      </c>
      <c r="J1201">
        <v>8052.7389941478978</v>
      </c>
    </row>
    <row r="1202" spans="1:10" x14ac:dyDescent="0.35">
      <c r="A1202" s="1">
        <v>45441</v>
      </c>
      <c r="B1202" t="s">
        <v>13</v>
      </c>
      <c r="C1202" t="s">
        <v>18</v>
      </c>
      <c r="D1202" t="s">
        <v>37</v>
      </c>
      <c r="E1202">
        <v>4</v>
      </c>
      <c r="F1202">
        <v>644</v>
      </c>
      <c r="G1202" t="s">
        <v>39</v>
      </c>
      <c r="H1202">
        <v>2576</v>
      </c>
      <c r="I1202">
        <v>1616.305556505057</v>
      </c>
      <c r="J1202">
        <v>959.69444349494279</v>
      </c>
    </row>
    <row r="1203" spans="1:10" x14ac:dyDescent="0.35">
      <c r="A1203" s="1">
        <v>45445</v>
      </c>
      <c r="B1203" t="s">
        <v>12</v>
      </c>
      <c r="C1203" t="s">
        <v>23</v>
      </c>
      <c r="D1203" t="s">
        <v>34</v>
      </c>
      <c r="E1203">
        <v>7</v>
      </c>
      <c r="F1203">
        <v>1693</v>
      </c>
      <c r="G1203" t="s">
        <v>39</v>
      </c>
      <c r="H1203">
        <v>11851</v>
      </c>
      <c r="I1203">
        <v>8303.4541546158089</v>
      </c>
      <c r="J1203">
        <v>3547.5458453841911</v>
      </c>
    </row>
    <row r="1204" spans="1:10" x14ac:dyDescent="0.35">
      <c r="A1204" s="1">
        <v>45447</v>
      </c>
      <c r="B1204" t="s">
        <v>13</v>
      </c>
      <c r="C1204" t="s">
        <v>24</v>
      </c>
      <c r="D1204" t="s">
        <v>36</v>
      </c>
      <c r="E1204">
        <v>9</v>
      </c>
      <c r="F1204">
        <v>1590</v>
      </c>
      <c r="G1204" t="s">
        <v>40</v>
      </c>
      <c r="H1204">
        <v>14310</v>
      </c>
      <c r="I1204">
        <v>9188.4880888785701</v>
      </c>
      <c r="J1204">
        <v>5121.5119111214299</v>
      </c>
    </row>
    <row r="1205" spans="1:10" x14ac:dyDescent="0.35">
      <c r="A1205" s="1">
        <v>45340</v>
      </c>
      <c r="B1205" t="s">
        <v>10</v>
      </c>
      <c r="C1205" t="s">
        <v>24</v>
      </c>
      <c r="D1205" t="s">
        <v>32</v>
      </c>
      <c r="E1205">
        <v>19</v>
      </c>
      <c r="F1205">
        <v>1324</v>
      </c>
      <c r="G1205" t="s">
        <v>40</v>
      </c>
      <c r="H1205">
        <v>25156</v>
      </c>
      <c r="I1205">
        <v>17113.956065439601</v>
      </c>
      <c r="J1205">
        <v>8042.0439345603954</v>
      </c>
    </row>
    <row r="1206" spans="1:10" x14ac:dyDescent="0.35">
      <c r="A1206" s="1">
        <v>45628</v>
      </c>
      <c r="B1206" t="s">
        <v>10</v>
      </c>
      <c r="C1206" t="s">
        <v>19</v>
      </c>
      <c r="D1206" t="s">
        <v>37</v>
      </c>
      <c r="G1206" t="s">
        <v>40</v>
      </c>
    </row>
    <row r="1207" spans="1:10" x14ac:dyDescent="0.35">
      <c r="A1207" s="1">
        <v>45375</v>
      </c>
      <c r="B1207" t="s">
        <v>13</v>
      </c>
      <c r="C1207" t="s">
        <v>20</v>
      </c>
      <c r="D1207" t="s">
        <v>30</v>
      </c>
      <c r="E1207">
        <v>2</v>
      </c>
      <c r="F1207">
        <v>1670</v>
      </c>
      <c r="G1207" t="s">
        <v>38</v>
      </c>
      <c r="H1207">
        <v>3340</v>
      </c>
      <c r="I1207">
        <v>2600.198438540092</v>
      </c>
      <c r="J1207">
        <v>739.80156145990759</v>
      </c>
    </row>
    <row r="1208" spans="1:10" x14ac:dyDescent="0.35">
      <c r="A1208" s="1">
        <v>45652</v>
      </c>
      <c r="B1208" t="s">
        <v>11</v>
      </c>
      <c r="D1208" t="s">
        <v>30</v>
      </c>
      <c r="E1208">
        <v>6</v>
      </c>
      <c r="G1208" t="s">
        <v>39</v>
      </c>
    </row>
    <row r="1209" spans="1:10" x14ac:dyDescent="0.35">
      <c r="A1209" s="1">
        <v>45468</v>
      </c>
      <c r="B1209" t="s">
        <v>10</v>
      </c>
      <c r="C1209" t="s">
        <v>18</v>
      </c>
      <c r="D1209" t="s">
        <v>32</v>
      </c>
      <c r="E1209">
        <v>18</v>
      </c>
      <c r="F1209">
        <v>1760</v>
      </c>
      <c r="G1209" t="s">
        <v>39</v>
      </c>
      <c r="H1209">
        <v>31680</v>
      </c>
      <c r="I1209">
        <v>26199.983903945958</v>
      </c>
      <c r="J1209">
        <v>5480.0160960540379</v>
      </c>
    </row>
    <row r="1210" spans="1:10" x14ac:dyDescent="0.35">
      <c r="A1210" s="1">
        <v>45439</v>
      </c>
      <c r="B1210" t="s">
        <v>10</v>
      </c>
      <c r="C1210" t="s">
        <v>20</v>
      </c>
      <c r="D1210" t="s">
        <v>31</v>
      </c>
      <c r="E1210">
        <v>6</v>
      </c>
      <c r="F1210">
        <v>493</v>
      </c>
      <c r="G1210" t="s">
        <v>38</v>
      </c>
      <c r="H1210">
        <v>2958</v>
      </c>
      <c r="I1210">
        <v>1968.408473949072</v>
      </c>
      <c r="J1210">
        <v>989.59152605092777</v>
      </c>
    </row>
    <row r="1211" spans="1:10" x14ac:dyDescent="0.35">
      <c r="A1211" s="1">
        <v>45409</v>
      </c>
      <c r="B1211" t="s">
        <v>11</v>
      </c>
      <c r="C1211" t="s">
        <v>22</v>
      </c>
      <c r="D1211" t="s">
        <v>37</v>
      </c>
      <c r="E1211">
        <v>13</v>
      </c>
      <c r="F1211">
        <v>932</v>
      </c>
      <c r="G1211" t="s">
        <v>40</v>
      </c>
      <c r="H1211">
        <v>12116</v>
      </c>
      <c r="I1211">
        <v>10170.08527057844</v>
      </c>
      <c r="J1211">
        <v>1945.914729421562</v>
      </c>
    </row>
    <row r="1212" spans="1:10" x14ac:dyDescent="0.35">
      <c r="A1212" s="1">
        <v>45633</v>
      </c>
      <c r="B1212" t="s">
        <v>11</v>
      </c>
      <c r="C1212" t="s">
        <v>22</v>
      </c>
      <c r="D1212" t="s">
        <v>36</v>
      </c>
      <c r="E1212">
        <v>19</v>
      </c>
      <c r="F1212">
        <v>1165</v>
      </c>
      <c r="G1212" t="s">
        <v>40</v>
      </c>
      <c r="H1212">
        <v>22135</v>
      </c>
      <c r="I1212">
        <v>14541.911329532881</v>
      </c>
      <c r="J1212">
        <v>7593.0886704671248</v>
      </c>
    </row>
    <row r="1213" spans="1:10" x14ac:dyDescent="0.35">
      <c r="A1213" s="1">
        <v>45354</v>
      </c>
      <c r="B1213" t="s">
        <v>12</v>
      </c>
      <c r="C1213" t="s">
        <v>20</v>
      </c>
      <c r="D1213" t="s">
        <v>37</v>
      </c>
      <c r="E1213">
        <v>2</v>
      </c>
      <c r="F1213">
        <v>696</v>
      </c>
      <c r="G1213" t="s">
        <v>38</v>
      </c>
      <c r="H1213">
        <v>1392</v>
      </c>
      <c r="I1213">
        <v>1136.4426770016621</v>
      </c>
      <c r="J1213">
        <v>255.5573229983377</v>
      </c>
    </row>
    <row r="1214" spans="1:10" x14ac:dyDescent="0.35">
      <c r="A1214" s="1">
        <v>45480</v>
      </c>
      <c r="B1214" t="s">
        <v>11</v>
      </c>
      <c r="C1214" t="s">
        <v>21</v>
      </c>
      <c r="D1214" t="s">
        <v>31</v>
      </c>
      <c r="E1214">
        <v>12</v>
      </c>
      <c r="F1214">
        <v>492</v>
      </c>
      <c r="G1214" t="s">
        <v>40</v>
      </c>
      <c r="H1214">
        <v>5904</v>
      </c>
      <c r="I1214">
        <v>4132.3418725521497</v>
      </c>
      <c r="J1214">
        <v>1771.6581274478499</v>
      </c>
    </row>
    <row r="1215" spans="1:10" x14ac:dyDescent="0.35">
      <c r="A1215" s="1">
        <v>45651</v>
      </c>
      <c r="B1215" t="s">
        <v>13</v>
      </c>
      <c r="C1215" t="s">
        <v>17</v>
      </c>
      <c r="D1215" t="s">
        <v>33</v>
      </c>
      <c r="E1215">
        <v>15</v>
      </c>
      <c r="F1215">
        <v>799</v>
      </c>
      <c r="G1215" t="s">
        <v>38</v>
      </c>
      <c r="H1215">
        <v>11985</v>
      </c>
      <c r="I1215">
        <v>9287.6079416234297</v>
      </c>
      <c r="J1215">
        <v>2697.3920583765698</v>
      </c>
    </row>
    <row r="1216" spans="1:10" x14ac:dyDescent="0.35">
      <c r="A1216" s="1">
        <v>45340</v>
      </c>
      <c r="B1216" t="s">
        <v>13</v>
      </c>
      <c r="C1216" t="s">
        <v>24</v>
      </c>
      <c r="D1216" t="s">
        <v>34</v>
      </c>
      <c r="E1216">
        <v>14</v>
      </c>
      <c r="F1216">
        <v>1746</v>
      </c>
      <c r="G1216" t="s">
        <v>40</v>
      </c>
      <c r="H1216">
        <v>24444</v>
      </c>
      <c r="I1216">
        <v>14949.91481678417</v>
      </c>
      <c r="J1216">
        <v>9494.0851832158278</v>
      </c>
    </row>
    <row r="1217" spans="1:10" x14ac:dyDescent="0.35">
      <c r="A1217" s="1">
        <v>45618</v>
      </c>
      <c r="B1217" t="s">
        <v>12</v>
      </c>
      <c r="C1217" t="s">
        <v>17</v>
      </c>
      <c r="D1217" t="s">
        <v>32</v>
      </c>
      <c r="E1217">
        <v>6</v>
      </c>
      <c r="F1217">
        <v>1906</v>
      </c>
      <c r="G1217" t="s">
        <v>38</v>
      </c>
      <c r="H1217">
        <v>11436</v>
      </c>
      <c r="I1217">
        <v>8560.6846053825866</v>
      </c>
      <c r="J1217">
        <v>2875.3153946174129</v>
      </c>
    </row>
    <row r="1218" spans="1:10" x14ac:dyDescent="0.35">
      <c r="A1218" s="1">
        <v>45548</v>
      </c>
      <c r="B1218" t="s">
        <v>10</v>
      </c>
      <c r="C1218" t="s">
        <v>24</v>
      </c>
      <c r="D1218" t="s">
        <v>31</v>
      </c>
      <c r="E1218">
        <v>18</v>
      </c>
      <c r="F1218">
        <v>540</v>
      </c>
      <c r="G1218" t="s">
        <v>40</v>
      </c>
      <c r="H1218">
        <v>9720</v>
      </c>
      <c r="I1218">
        <v>6265.5739009512163</v>
      </c>
      <c r="J1218">
        <v>3454.4260990487842</v>
      </c>
    </row>
    <row r="1219" spans="1:10" x14ac:dyDescent="0.35">
      <c r="A1219" s="1">
        <v>45515</v>
      </c>
      <c r="B1219" t="s">
        <v>12</v>
      </c>
      <c r="C1219" t="s">
        <v>20</v>
      </c>
      <c r="D1219" t="s">
        <v>33</v>
      </c>
      <c r="E1219">
        <v>5</v>
      </c>
      <c r="F1219">
        <v>1960</v>
      </c>
      <c r="G1219" t="s">
        <v>38</v>
      </c>
      <c r="H1219">
        <v>9800</v>
      </c>
      <c r="I1219">
        <v>7309.7814681121381</v>
      </c>
      <c r="J1219">
        <v>2490.2185318878619</v>
      </c>
    </row>
    <row r="1220" spans="1:10" x14ac:dyDescent="0.35">
      <c r="A1220" s="1">
        <v>45432</v>
      </c>
      <c r="B1220" t="s">
        <v>11</v>
      </c>
      <c r="C1220" t="s">
        <v>22</v>
      </c>
      <c r="D1220" t="s">
        <v>37</v>
      </c>
      <c r="E1220">
        <v>18</v>
      </c>
      <c r="F1220">
        <v>1740</v>
      </c>
      <c r="G1220" t="s">
        <v>40</v>
      </c>
      <c r="H1220">
        <v>31320</v>
      </c>
      <c r="I1220">
        <v>20120.210393806261</v>
      </c>
      <c r="J1220">
        <v>11199.789606193741</v>
      </c>
    </row>
    <row r="1221" spans="1:10" x14ac:dyDescent="0.35">
      <c r="A1221" s="1">
        <v>45506</v>
      </c>
      <c r="B1221" t="s">
        <v>13</v>
      </c>
      <c r="C1221" t="s">
        <v>21</v>
      </c>
      <c r="D1221" t="s">
        <v>37</v>
      </c>
      <c r="E1221">
        <v>3</v>
      </c>
      <c r="F1221">
        <v>1629</v>
      </c>
      <c r="G1221" t="s">
        <v>40</v>
      </c>
      <c r="H1221">
        <v>4887</v>
      </c>
      <c r="I1221">
        <v>3573.0163590363309</v>
      </c>
      <c r="J1221">
        <v>1313.9836409636689</v>
      </c>
    </row>
    <row r="1222" spans="1:10" x14ac:dyDescent="0.35">
      <c r="A1222" s="1">
        <v>45502</v>
      </c>
      <c r="B1222" t="s">
        <v>10</v>
      </c>
      <c r="C1222" t="s">
        <v>22</v>
      </c>
      <c r="D1222" t="s">
        <v>31</v>
      </c>
      <c r="E1222">
        <v>3</v>
      </c>
      <c r="F1222">
        <v>1017</v>
      </c>
      <c r="G1222" t="s">
        <v>40</v>
      </c>
      <c r="H1222">
        <v>3051</v>
      </c>
      <c r="I1222">
        <v>1931.851236758614</v>
      </c>
      <c r="J1222">
        <v>1119.148763241386</v>
      </c>
    </row>
    <row r="1223" spans="1:10" x14ac:dyDescent="0.35">
      <c r="A1223" s="1">
        <v>45609</v>
      </c>
      <c r="B1223" t="s">
        <v>12</v>
      </c>
      <c r="C1223" t="s">
        <v>17</v>
      </c>
      <c r="D1223" t="s">
        <v>36</v>
      </c>
      <c r="E1223">
        <v>10</v>
      </c>
      <c r="F1223">
        <v>419</v>
      </c>
      <c r="G1223" t="s">
        <v>38</v>
      </c>
      <c r="H1223">
        <v>4190</v>
      </c>
      <c r="I1223">
        <v>2790.4790577920098</v>
      </c>
      <c r="J1223">
        <v>1399.5209422079899</v>
      </c>
    </row>
    <row r="1224" spans="1:10" x14ac:dyDescent="0.35">
      <c r="A1224" s="1">
        <v>45323</v>
      </c>
      <c r="B1224" t="s">
        <v>12</v>
      </c>
      <c r="C1224" t="s">
        <v>22</v>
      </c>
      <c r="D1224" t="s">
        <v>37</v>
      </c>
      <c r="E1224">
        <v>19</v>
      </c>
      <c r="F1224">
        <v>652</v>
      </c>
      <c r="G1224" t="s">
        <v>40</v>
      </c>
      <c r="H1224">
        <v>12388</v>
      </c>
      <c r="I1224">
        <v>9644.351355906525</v>
      </c>
      <c r="J1224">
        <v>2743.648644093475</v>
      </c>
    </row>
    <row r="1225" spans="1:10" x14ac:dyDescent="0.35">
      <c r="A1225" s="1">
        <v>45449</v>
      </c>
      <c r="B1225" t="s">
        <v>13</v>
      </c>
      <c r="C1225" t="s">
        <v>20</v>
      </c>
      <c r="D1225" t="s">
        <v>36</v>
      </c>
      <c r="E1225">
        <v>3</v>
      </c>
      <c r="F1225">
        <v>1338</v>
      </c>
      <c r="G1225" t="s">
        <v>38</v>
      </c>
      <c r="H1225">
        <v>4014</v>
      </c>
      <c r="I1225">
        <v>3584.4947393284529</v>
      </c>
      <c r="J1225">
        <v>429.50526067154669</v>
      </c>
    </row>
    <row r="1226" spans="1:10" x14ac:dyDescent="0.35">
      <c r="A1226" s="1">
        <v>45576</v>
      </c>
      <c r="B1226" t="s">
        <v>12</v>
      </c>
      <c r="C1226" t="s">
        <v>21</v>
      </c>
      <c r="D1226" t="s">
        <v>36</v>
      </c>
      <c r="E1226">
        <v>12</v>
      </c>
      <c r="F1226">
        <v>1194</v>
      </c>
      <c r="G1226" t="s">
        <v>40</v>
      </c>
      <c r="H1226">
        <v>14328</v>
      </c>
      <c r="I1226">
        <v>10527.575808456049</v>
      </c>
      <c r="J1226">
        <v>3800.424191543947</v>
      </c>
    </row>
    <row r="1227" spans="1:10" x14ac:dyDescent="0.35">
      <c r="A1227" s="1">
        <v>45596</v>
      </c>
      <c r="B1227" t="s">
        <v>12</v>
      </c>
      <c r="C1227" t="s">
        <v>17</v>
      </c>
      <c r="D1227" t="s">
        <v>34</v>
      </c>
      <c r="E1227">
        <v>16</v>
      </c>
      <c r="F1227">
        <v>667</v>
      </c>
      <c r="G1227" t="s">
        <v>38</v>
      </c>
      <c r="H1227">
        <v>10672</v>
      </c>
      <c r="I1227">
        <v>8603.2552942585826</v>
      </c>
      <c r="J1227">
        <v>2068.744705741417</v>
      </c>
    </row>
    <row r="1228" spans="1:10" x14ac:dyDescent="0.35">
      <c r="A1228" s="1">
        <v>45577</v>
      </c>
      <c r="B1228" t="s">
        <v>13</v>
      </c>
      <c r="C1228" t="s">
        <v>21</v>
      </c>
      <c r="D1228" t="s">
        <v>36</v>
      </c>
      <c r="E1228">
        <v>17</v>
      </c>
      <c r="F1228">
        <v>1018</v>
      </c>
      <c r="G1228" t="s">
        <v>40</v>
      </c>
      <c r="H1228">
        <v>17306</v>
      </c>
      <c r="I1228">
        <v>13184.18500712819</v>
      </c>
      <c r="J1228">
        <v>4121.8149928718121</v>
      </c>
    </row>
    <row r="1229" spans="1:10" x14ac:dyDescent="0.35">
      <c r="A1229" s="1">
        <v>45435</v>
      </c>
      <c r="B1229" t="s">
        <v>11</v>
      </c>
      <c r="C1229" t="s">
        <v>18</v>
      </c>
      <c r="D1229" t="s">
        <v>35</v>
      </c>
      <c r="E1229">
        <v>7</v>
      </c>
      <c r="F1229">
        <v>335</v>
      </c>
      <c r="G1229" t="s">
        <v>39</v>
      </c>
      <c r="H1229">
        <v>2345</v>
      </c>
      <c r="I1229">
        <v>1757.5948067761369</v>
      </c>
      <c r="J1229">
        <v>587.40519322386308</v>
      </c>
    </row>
    <row r="1230" spans="1:10" x14ac:dyDescent="0.35">
      <c r="A1230" s="1">
        <v>45310</v>
      </c>
      <c r="B1230" t="s">
        <v>11</v>
      </c>
      <c r="C1230" t="s">
        <v>24</v>
      </c>
      <c r="D1230" t="s">
        <v>34</v>
      </c>
      <c r="E1230">
        <v>13</v>
      </c>
      <c r="F1230">
        <v>1404</v>
      </c>
      <c r="G1230" t="s">
        <v>40</v>
      </c>
      <c r="H1230">
        <v>18252</v>
      </c>
      <c r="I1230">
        <v>11305.494300216291</v>
      </c>
      <c r="J1230">
        <v>6946.505699783711</v>
      </c>
    </row>
    <row r="1231" spans="1:10" x14ac:dyDescent="0.35">
      <c r="A1231" s="1">
        <v>45309</v>
      </c>
      <c r="B1231" t="s">
        <v>12</v>
      </c>
      <c r="C1231" t="s">
        <v>22</v>
      </c>
      <c r="D1231" t="s">
        <v>33</v>
      </c>
      <c r="E1231">
        <v>2</v>
      </c>
      <c r="F1231">
        <v>1086</v>
      </c>
      <c r="G1231" t="s">
        <v>40</v>
      </c>
      <c r="H1231">
        <v>2172</v>
      </c>
      <c r="I1231">
        <v>1397.2241873225721</v>
      </c>
      <c r="J1231">
        <v>774.77581267742812</v>
      </c>
    </row>
    <row r="1232" spans="1:10" x14ac:dyDescent="0.35">
      <c r="A1232" s="1">
        <v>45548</v>
      </c>
      <c r="B1232" t="s">
        <v>11</v>
      </c>
      <c r="C1232" t="s">
        <v>21</v>
      </c>
      <c r="D1232" t="s">
        <v>33</v>
      </c>
      <c r="E1232">
        <v>4</v>
      </c>
      <c r="F1232">
        <v>1740</v>
      </c>
      <c r="G1232" t="s">
        <v>40</v>
      </c>
      <c r="H1232">
        <v>6960</v>
      </c>
      <c r="I1232">
        <v>6019.8245386376011</v>
      </c>
      <c r="J1232">
        <v>940.17546136239889</v>
      </c>
    </row>
    <row r="1233" spans="1:10" x14ac:dyDescent="0.35">
      <c r="A1233" s="1">
        <v>45369</v>
      </c>
      <c r="B1233" t="s">
        <v>11</v>
      </c>
      <c r="C1233" t="s">
        <v>19</v>
      </c>
      <c r="D1233" t="s">
        <v>37</v>
      </c>
      <c r="E1233">
        <v>10</v>
      </c>
      <c r="F1233">
        <v>1285</v>
      </c>
      <c r="G1233" t="s">
        <v>40</v>
      </c>
      <c r="H1233">
        <v>12850</v>
      </c>
      <c r="I1233">
        <v>9291.1834344861509</v>
      </c>
      <c r="J1233">
        <v>3558.8165655138491</v>
      </c>
    </row>
    <row r="1234" spans="1:10" x14ac:dyDescent="0.35">
      <c r="A1234" s="1">
        <v>45466</v>
      </c>
      <c r="B1234" t="s">
        <v>12</v>
      </c>
      <c r="C1234" t="s">
        <v>18</v>
      </c>
      <c r="D1234" t="s">
        <v>37</v>
      </c>
      <c r="E1234">
        <v>7</v>
      </c>
      <c r="F1234">
        <v>1314</v>
      </c>
      <c r="G1234" t="s">
        <v>39</v>
      </c>
      <c r="H1234">
        <v>9198</v>
      </c>
      <c r="I1234">
        <v>7213.9890358880721</v>
      </c>
      <c r="J1234">
        <v>1984.0109641119279</v>
      </c>
    </row>
    <row r="1235" spans="1:10" x14ac:dyDescent="0.35">
      <c r="A1235" s="1">
        <v>45485</v>
      </c>
      <c r="B1235" t="s">
        <v>11</v>
      </c>
      <c r="C1235" t="s">
        <v>22</v>
      </c>
      <c r="D1235" t="s">
        <v>36</v>
      </c>
      <c r="E1235">
        <v>17</v>
      </c>
      <c r="F1235">
        <v>1132</v>
      </c>
      <c r="G1235" t="s">
        <v>40</v>
      </c>
      <c r="H1235">
        <v>19244</v>
      </c>
      <c r="I1235">
        <v>14595.99609911</v>
      </c>
      <c r="J1235">
        <v>4648.0039008900039</v>
      </c>
    </row>
    <row r="1236" spans="1:10" x14ac:dyDescent="0.35">
      <c r="A1236" s="1">
        <v>45404</v>
      </c>
      <c r="B1236" t="s">
        <v>12</v>
      </c>
      <c r="C1236" t="s">
        <v>24</v>
      </c>
      <c r="D1236" t="s">
        <v>34</v>
      </c>
      <c r="E1236">
        <v>6</v>
      </c>
      <c r="F1236">
        <v>159</v>
      </c>
      <c r="G1236" t="s">
        <v>40</v>
      </c>
      <c r="H1236">
        <v>954</v>
      </c>
      <c r="I1236">
        <v>680.83613702756338</v>
      </c>
      <c r="J1236">
        <v>273.16386297243662</v>
      </c>
    </row>
    <row r="1237" spans="1:10" x14ac:dyDescent="0.35">
      <c r="A1237" s="1">
        <v>45405</v>
      </c>
      <c r="B1237" t="s">
        <v>10</v>
      </c>
      <c r="C1237" t="s">
        <v>21</v>
      </c>
      <c r="D1237" t="s">
        <v>34</v>
      </c>
      <c r="E1237">
        <v>19</v>
      </c>
      <c r="F1237">
        <v>992</v>
      </c>
      <c r="G1237" t="s">
        <v>40</v>
      </c>
      <c r="H1237">
        <v>18848</v>
      </c>
      <c r="I1237">
        <v>13501.66985853925</v>
      </c>
      <c r="J1237">
        <v>5346.3301414607522</v>
      </c>
    </row>
    <row r="1238" spans="1:10" x14ac:dyDescent="0.35">
      <c r="A1238" s="1">
        <v>45513</v>
      </c>
      <c r="B1238" t="s">
        <v>13</v>
      </c>
      <c r="C1238" t="s">
        <v>17</v>
      </c>
      <c r="D1238" t="s">
        <v>35</v>
      </c>
      <c r="E1238">
        <v>5</v>
      </c>
      <c r="F1238">
        <v>1940</v>
      </c>
      <c r="G1238" t="s">
        <v>38</v>
      </c>
      <c r="H1238">
        <v>9700</v>
      </c>
      <c r="I1238">
        <v>7436.4031671942384</v>
      </c>
      <c r="J1238">
        <v>2263.596832805762</v>
      </c>
    </row>
    <row r="1239" spans="1:10" x14ac:dyDescent="0.35">
      <c r="A1239" s="1">
        <v>45457</v>
      </c>
      <c r="B1239" t="s">
        <v>13</v>
      </c>
      <c r="C1239" t="s">
        <v>24</v>
      </c>
      <c r="D1239" t="s">
        <v>36</v>
      </c>
      <c r="E1239">
        <v>10</v>
      </c>
      <c r="F1239">
        <v>324</v>
      </c>
      <c r="G1239" t="s">
        <v>40</v>
      </c>
      <c r="H1239">
        <v>3240</v>
      </c>
      <c r="I1239">
        <v>2081.1898310344232</v>
      </c>
      <c r="J1239">
        <v>1158.8101689655771</v>
      </c>
    </row>
    <row r="1240" spans="1:10" x14ac:dyDescent="0.35">
      <c r="A1240" s="1">
        <v>45610</v>
      </c>
      <c r="B1240" t="s">
        <v>11</v>
      </c>
      <c r="C1240" t="s">
        <v>19</v>
      </c>
      <c r="D1240" t="s">
        <v>35</v>
      </c>
      <c r="E1240">
        <v>9</v>
      </c>
      <c r="F1240">
        <v>1942</v>
      </c>
      <c r="G1240" t="s">
        <v>40</v>
      </c>
      <c r="H1240">
        <v>17478</v>
      </c>
      <c r="I1240">
        <v>12517.3540516701</v>
      </c>
      <c r="J1240">
        <v>4960.6459483299004</v>
      </c>
    </row>
    <row r="1241" spans="1:10" x14ac:dyDescent="0.35">
      <c r="A1241" s="1">
        <v>45423</v>
      </c>
      <c r="B1241" t="s">
        <v>11</v>
      </c>
      <c r="C1241" t="s">
        <v>21</v>
      </c>
      <c r="D1241" t="s">
        <v>30</v>
      </c>
      <c r="E1241">
        <v>13</v>
      </c>
      <c r="F1241">
        <v>799</v>
      </c>
      <c r="G1241" t="s">
        <v>40</v>
      </c>
      <c r="H1241">
        <v>10387</v>
      </c>
      <c r="I1241">
        <v>7625.0205718158759</v>
      </c>
      <c r="J1241">
        <v>2761.9794281841241</v>
      </c>
    </row>
    <row r="1242" spans="1:10" x14ac:dyDescent="0.35">
      <c r="A1242" s="1">
        <v>45555</v>
      </c>
      <c r="B1242" t="s">
        <v>11</v>
      </c>
      <c r="C1242" t="s">
        <v>23</v>
      </c>
      <c r="D1242" t="s">
        <v>36</v>
      </c>
      <c r="E1242">
        <v>19</v>
      </c>
      <c r="F1242">
        <v>681</v>
      </c>
      <c r="G1242" t="s">
        <v>39</v>
      </c>
      <c r="H1242">
        <v>12939</v>
      </c>
      <c r="I1242">
        <v>11587.364462443609</v>
      </c>
      <c r="J1242">
        <v>1351.6355375563869</v>
      </c>
    </row>
    <row r="1243" spans="1:10" x14ac:dyDescent="0.35">
      <c r="A1243" s="1">
        <v>45346</v>
      </c>
      <c r="B1243" t="s">
        <v>13</v>
      </c>
      <c r="C1243" t="s">
        <v>23</v>
      </c>
      <c r="D1243" t="s">
        <v>32</v>
      </c>
      <c r="E1243">
        <v>6</v>
      </c>
      <c r="F1243">
        <v>1928</v>
      </c>
      <c r="G1243" t="s">
        <v>39</v>
      </c>
      <c r="H1243">
        <v>11568</v>
      </c>
      <c r="I1243">
        <v>8160.4886313291536</v>
      </c>
      <c r="J1243">
        <v>3407.511368670846</v>
      </c>
    </row>
    <row r="1244" spans="1:10" x14ac:dyDescent="0.35">
      <c r="A1244" s="1">
        <v>45650</v>
      </c>
      <c r="B1244" t="s">
        <v>10</v>
      </c>
      <c r="C1244" t="s">
        <v>20</v>
      </c>
      <c r="D1244" t="s">
        <v>32</v>
      </c>
      <c r="E1244">
        <v>4</v>
      </c>
      <c r="F1244">
        <v>1410</v>
      </c>
      <c r="G1244" t="s">
        <v>38</v>
      </c>
      <c r="H1244">
        <v>5640</v>
      </c>
      <c r="I1244">
        <v>4474.6274918304307</v>
      </c>
      <c r="J1244">
        <v>1165.3725081695691</v>
      </c>
    </row>
    <row r="1245" spans="1:10" x14ac:dyDescent="0.35">
      <c r="A1245" s="1">
        <v>45422</v>
      </c>
      <c r="B1245" t="s">
        <v>10</v>
      </c>
      <c r="C1245" t="s">
        <v>22</v>
      </c>
      <c r="D1245" t="s">
        <v>31</v>
      </c>
      <c r="E1245">
        <v>-1</v>
      </c>
      <c r="F1245">
        <v>1093</v>
      </c>
      <c r="G1245" t="s">
        <v>40</v>
      </c>
      <c r="H1245">
        <v>-1093</v>
      </c>
      <c r="I1245">
        <v>-700.8585423930989</v>
      </c>
      <c r="J1245">
        <v>-392.1414576069011</v>
      </c>
    </row>
    <row r="1246" spans="1:10" x14ac:dyDescent="0.35">
      <c r="A1246" s="1">
        <v>45579</v>
      </c>
      <c r="B1246" t="s">
        <v>13</v>
      </c>
      <c r="C1246" t="s">
        <v>17</v>
      </c>
      <c r="D1246" t="s">
        <v>36</v>
      </c>
      <c r="E1246">
        <v>3</v>
      </c>
      <c r="F1246">
        <v>268</v>
      </c>
      <c r="G1246" t="s">
        <v>38</v>
      </c>
      <c r="H1246">
        <v>804</v>
      </c>
      <c r="I1246">
        <v>498.19410929744879</v>
      </c>
      <c r="J1246">
        <v>305.80589070255121</v>
      </c>
    </row>
    <row r="1247" spans="1:10" x14ac:dyDescent="0.35">
      <c r="A1247" s="1">
        <v>45557</v>
      </c>
      <c r="B1247" t="s">
        <v>10</v>
      </c>
      <c r="C1247" t="s">
        <v>20</v>
      </c>
      <c r="D1247" t="s">
        <v>34</v>
      </c>
      <c r="E1247">
        <v>4</v>
      </c>
      <c r="F1247">
        <v>1185</v>
      </c>
      <c r="G1247" t="s">
        <v>38</v>
      </c>
      <c r="H1247">
        <v>4740</v>
      </c>
      <c r="I1247">
        <v>4083.3327439097502</v>
      </c>
      <c r="J1247">
        <v>656.66725609025025</v>
      </c>
    </row>
    <row r="1248" spans="1:10" x14ac:dyDescent="0.35">
      <c r="A1248" s="1">
        <v>45657</v>
      </c>
      <c r="B1248" t="s">
        <v>13</v>
      </c>
      <c r="C1248" t="s">
        <v>21</v>
      </c>
      <c r="D1248" t="s">
        <v>37</v>
      </c>
      <c r="E1248">
        <v>5</v>
      </c>
      <c r="F1248">
        <v>1472</v>
      </c>
      <c r="G1248" t="s">
        <v>40</v>
      </c>
      <c r="H1248">
        <v>7360</v>
      </c>
      <c r="I1248">
        <v>6029.4626645117551</v>
      </c>
      <c r="J1248">
        <v>1330.5373354882449</v>
      </c>
    </row>
    <row r="1249" spans="1:10" x14ac:dyDescent="0.35">
      <c r="A1249" s="1">
        <v>45453</v>
      </c>
      <c r="B1249" t="s">
        <v>10</v>
      </c>
      <c r="C1249" t="s">
        <v>23</v>
      </c>
      <c r="D1249" t="s">
        <v>33</v>
      </c>
      <c r="E1249">
        <v>8</v>
      </c>
      <c r="F1249">
        <v>1565</v>
      </c>
      <c r="G1249" t="s">
        <v>39</v>
      </c>
      <c r="H1249">
        <v>12520</v>
      </c>
      <c r="I1249">
        <v>8704.5273242052008</v>
      </c>
      <c r="J1249">
        <v>3815.4726757947992</v>
      </c>
    </row>
    <row r="1250" spans="1:10" x14ac:dyDescent="0.35">
      <c r="A1250" s="1">
        <v>45378</v>
      </c>
      <c r="B1250" t="s">
        <v>12</v>
      </c>
      <c r="C1250" t="s">
        <v>23</v>
      </c>
      <c r="D1250" t="s">
        <v>31</v>
      </c>
      <c r="E1250">
        <v>16</v>
      </c>
      <c r="F1250">
        <v>113</v>
      </c>
      <c r="G1250" t="s">
        <v>39</v>
      </c>
      <c r="H1250">
        <v>1808</v>
      </c>
      <c r="I1250">
        <v>1358.483108771457</v>
      </c>
      <c r="J1250">
        <v>449.51689122854299</v>
      </c>
    </row>
    <row r="1251" spans="1:10" x14ac:dyDescent="0.35">
      <c r="A1251" s="1">
        <v>45346</v>
      </c>
      <c r="B1251" t="s">
        <v>12</v>
      </c>
      <c r="C1251" t="s">
        <v>23</v>
      </c>
      <c r="D1251" t="s">
        <v>37</v>
      </c>
      <c r="E1251">
        <v>3</v>
      </c>
      <c r="F1251">
        <v>263</v>
      </c>
      <c r="G1251" t="s">
        <v>39</v>
      </c>
      <c r="H1251">
        <v>789</v>
      </c>
      <c r="I1251">
        <v>505.53064845975013</v>
      </c>
      <c r="J1251">
        <v>283.46935154024987</v>
      </c>
    </row>
    <row r="1252" spans="1:10" x14ac:dyDescent="0.35">
      <c r="A1252" s="1">
        <v>45579</v>
      </c>
      <c r="B1252" t="s">
        <v>13</v>
      </c>
      <c r="C1252" t="s">
        <v>21</v>
      </c>
      <c r="D1252" t="s">
        <v>32</v>
      </c>
      <c r="E1252">
        <v>12</v>
      </c>
      <c r="F1252">
        <v>1543</v>
      </c>
      <c r="G1252" t="s">
        <v>40</v>
      </c>
      <c r="H1252">
        <v>18516</v>
      </c>
      <c r="I1252">
        <v>15037.734001004879</v>
      </c>
      <c r="J1252">
        <v>3478.2659989951171</v>
      </c>
    </row>
    <row r="1253" spans="1:10" x14ac:dyDescent="0.35">
      <c r="A1253" s="1">
        <v>45469</v>
      </c>
      <c r="B1253" t="s">
        <v>10</v>
      </c>
      <c r="C1253" t="s">
        <v>23</v>
      </c>
      <c r="D1253" t="s">
        <v>36</v>
      </c>
      <c r="E1253">
        <v>8</v>
      </c>
      <c r="F1253">
        <v>856</v>
      </c>
      <c r="G1253" t="s">
        <v>39</v>
      </c>
      <c r="H1253">
        <v>6848</v>
      </c>
      <c r="I1253">
        <v>4253.2871683844342</v>
      </c>
      <c r="J1253">
        <v>2594.7128316155658</v>
      </c>
    </row>
    <row r="1254" spans="1:10" x14ac:dyDescent="0.35">
      <c r="A1254" s="1">
        <v>45640</v>
      </c>
      <c r="B1254" t="s">
        <v>11</v>
      </c>
      <c r="C1254" t="s">
        <v>24</v>
      </c>
      <c r="D1254" t="s">
        <v>31</v>
      </c>
      <c r="E1254">
        <v>13</v>
      </c>
      <c r="F1254">
        <v>1970</v>
      </c>
      <c r="G1254" t="s">
        <v>40</v>
      </c>
      <c r="H1254">
        <v>25610</v>
      </c>
      <c r="I1254">
        <v>21182.284976479259</v>
      </c>
      <c r="J1254">
        <v>4427.7150235207446</v>
      </c>
    </row>
    <row r="1255" spans="1:10" x14ac:dyDescent="0.35">
      <c r="A1255" s="1">
        <v>45299</v>
      </c>
      <c r="B1255" t="s">
        <v>10</v>
      </c>
      <c r="C1255" t="s">
        <v>18</v>
      </c>
      <c r="D1255" t="s">
        <v>36</v>
      </c>
      <c r="E1255">
        <v>4</v>
      </c>
      <c r="F1255">
        <v>1643</v>
      </c>
      <c r="G1255" t="s">
        <v>39</v>
      </c>
      <c r="H1255">
        <v>6572</v>
      </c>
      <c r="I1255">
        <v>5021.3428636483059</v>
      </c>
      <c r="J1255">
        <v>1550.6571363516939</v>
      </c>
    </row>
    <row r="1256" spans="1:10" x14ac:dyDescent="0.35">
      <c r="A1256" s="1">
        <v>45612</v>
      </c>
      <c r="B1256" t="s">
        <v>12</v>
      </c>
      <c r="C1256" t="s">
        <v>21</v>
      </c>
      <c r="D1256" t="s">
        <v>32</v>
      </c>
      <c r="E1256">
        <v>14</v>
      </c>
      <c r="F1256">
        <v>1789</v>
      </c>
      <c r="G1256" t="s">
        <v>40</v>
      </c>
      <c r="H1256">
        <v>25046</v>
      </c>
      <c r="I1256">
        <v>17122.82711296593</v>
      </c>
      <c r="J1256">
        <v>7923.1728870340703</v>
      </c>
    </row>
    <row r="1257" spans="1:10" x14ac:dyDescent="0.35">
      <c r="A1257" s="1">
        <v>45604</v>
      </c>
      <c r="B1257" t="s">
        <v>50</v>
      </c>
      <c r="C1257" t="s">
        <v>17</v>
      </c>
      <c r="D1257" t="s">
        <v>31</v>
      </c>
      <c r="E1257">
        <v>14</v>
      </c>
      <c r="F1257">
        <v>1671</v>
      </c>
      <c r="G1257" t="s">
        <v>38</v>
      </c>
      <c r="H1257">
        <v>23394</v>
      </c>
      <c r="I1257">
        <v>20090.119331674119</v>
      </c>
      <c r="J1257">
        <v>3303.880668325884</v>
      </c>
    </row>
    <row r="1258" spans="1:10" x14ac:dyDescent="0.35">
      <c r="A1258" s="1">
        <v>45538</v>
      </c>
      <c r="B1258" t="s">
        <v>10</v>
      </c>
      <c r="C1258" t="s">
        <v>18</v>
      </c>
      <c r="D1258" t="s">
        <v>32</v>
      </c>
      <c r="E1258">
        <v>13</v>
      </c>
      <c r="F1258">
        <v>1683</v>
      </c>
      <c r="G1258" t="s">
        <v>39</v>
      </c>
      <c r="H1258">
        <v>21879</v>
      </c>
      <c r="I1258">
        <v>19599.679935343142</v>
      </c>
      <c r="J1258">
        <v>2279.3200646568621</v>
      </c>
    </row>
    <row r="1259" spans="1:10" x14ac:dyDescent="0.35">
      <c r="A1259" s="1">
        <v>45614</v>
      </c>
      <c r="B1259" t="s">
        <v>10</v>
      </c>
      <c r="C1259" t="s">
        <v>20</v>
      </c>
      <c r="D1259" t="s">
        <v>35</v>
      </c>
      <c r="E1259">
        <v>6</v>
      </c>
      <c r="F1259">
        <v>1720</v>
      </c>
      <c r="G1259" t="s">
        <v>38</v>
      </c>
      <c r="H1259">
        <v>10320</v>
      </c>
      <c r="I1259">
        <v>6979.4648173078876</v>
      </c>
      <c r="J1259">
        <v>3340.5351826921119</v>
      </c>
    </row>
    <row r="1260" spans="1:10" x14ac:dyDescent="0.35">
      <c r="A1260" s="1">
        <v>45546</v>
      </c>
      <c r="B1260" t="s">
        <v>11</v>
      </c>
      <c r="C1260" t="s">
        <v>17</v>
      </c>
      <c r="D1260" t="s">
        <v>32</v>
      </c>
      <c r="F1260">
        <v>1151</v>
      </c>
      <c r="G1260" t="s">
        <v>38</v>
      </c>
    </row>
    <row r="1261" spans="1:10" x14ac:dyDescent="0.35">
      <c r="A1261" s="1">
        <v>45619</v>
      </c>
      <c r="B1261" t="s">
        <v>11</v>
      </c>
      <c r="C1261" t="s">
        <v>18</v>
      </c>
      <c r="D1261" t="s">
        <v>34</v>
      </c>
      <c r="E1261">
        <v>4</v>
      </c>
      <c r="F1261">
        <v>1831</v>
      </c>
      <c r="G1261" t="s">
        <v>39</v>
      </c>
      <c r="H1261">
        <v>7324</v>
      </c>
      <c r="I1261">
        <v>6042.665430342352</v>
      </c>
      <c r="J1261">
        <v>1281.334569657648</v>
      </c>
    </row>
    <row r="1262" spans="1:10" x14ac:dyDescent="0.35">
      <c r="A1262" s="1">
        <v>45345</v>
      </c>
      <c r="B1262" t="s">
        <v>10</v>
      </c>
      <c r="C1262" t="s">
        <v>19</v>
      </c>
      <c r="D1262" t="s">
        <v>34</v>
      </c>
      <c r="E1262">
        <v>8</v>
      </c>
      <c r="F1262">
        <v>545</v>
      </c>
      <c r="G1262" t="s">
        <v>40</v>
      </c>
      <c r="H1262">
        <v>4360</v>
      </c>
      <c r="I1262">
        <v>3593.3246784062148</v>
      </c>
      <c r="J1262">
        <v>766.6753215937847</v>
      </c>
    </row>
    <row r="1263" spans="1:10" x14ac:dyDescent="0.35">
      <c r="A1263" s="1">
        <v>45540</v>
      </c>
      <c r="B1263" t="s">
        <v>10</v>
      </c>
      <c r="C1263" t="s">
        <v>23</v>
      </c>
      <c r="D1263" t="s">
        <v>36</v>
      </c>
      <c r="E1263">
        <v>17</v>
      </c>
      <c r="F1263">
        <v>1331</v>
      </c>
      <c r="G1263" t="s">
        <v>39</v>
      </c>
      <c r="H1263">
        <v>22627</v>
      </c>
      <c r="I1263">
        <v>20074.011054314731</v>
      </c>
      <c r="J1263">
        <v>2552.988945685272</v>
      </c>
    </row>
    <row r="1264" spans="1:10" x14ac:dyDescent="0.35">
      <c r="A1264" s="1">
        <v>45530</v>
      </c>
      <c r="B1264" t="s">
        <v>10</v>
      </c>
      <c r="C1264" t="s">
        <v>19</v>
      </c>
      <c r="D1264" t="s">
        <v>33</v>
      </c>
      <c r="E1264">
        <v>3</v>
      </c>
      <c r="G1264" t="s">
        <v>40</v>
      </c>
    </row>
    <row r="1265" spans="1:10" x14ac:dyDescent="0.35">
      <c r="A1265" s="1">
        <v>45520</v>
      </c>
      <c r="B1265" t="s">
        <v>10</v>
      </c>
      <c r="C1265" t="s">
        <v>22</v>
      </c>
      <c r="D1265" t="s">
        <v>32</v>
      </c>
      <c r="E1265">
        <v>17</v>
      </c>
      <c r="F1265">
        <v>815</v>
      </c>
      <c r="G1265" t="s">
        <v>40</v>
      </c>
      <c r="H1265">
        <v>13855</v>
      </c>
      <c r="I1265">
        <v>11115.17946057374</v>
      </c>
      <c r="J1265">
        <v>2739.8205394262641</v>
      </c>
    </row>
    <row r="1266" spans="1:10" x14ac:dyDescent="0.35">
      <c r="A1266" s="1">
        <v>45358</v>
      </c>
      <c r="B1266" t="s">
        <v>13</v>
      </c>
      <c r="C1266" t="s">
        <v>22</v>
      </c>
      <c r="D1266" t="s">
        <v>37</v>
      </c>
      <c r="E1266">
        <v>9</v>
      </c>
      <c r="F1266">
        <v>1075</v>
      </c>
      <c r="G1266" t="s">
        <v>40</v>
      </c>
      <c r="H1266">
        <v>9675</v>
      </c>
      <c r="I1266">
        <v>8196.3040479238971</v>
      </c>
      <c r="J1266">
        <v>1478.6959520761029</v>
      </c>
    </row>
    <row r="1267" spans="1:10" x14ac:dyDescent="0.35">
      <c r="A1267" s="1">
        <v>45342</v>
      </c>
      <c r="B1267" t="s">
        <v>10</v>
      </c>
      <c r="C1267" t="s">
        <v>18</v>
      </c>
      <c r="D1267" t="s">
        <v>34</v>
      </c>
      <c r="E1267">
        <v>2</v>
      </c>
      <c r="F1267">
        <v>918</v>
      </c>
      <c r="G1267" t="s">
        <v>39</v>
      </c>
      <c r="H1267">
        <v>1836</v>
      </c>
      <c r="I1267">
        <v>1365.728673929699</v>
      </c>
      <c r="J1267">
        <v>470.27132607030097</v>
      </c>
    </row>
    <row r="1268" spans="1:10" x14ac:dyDescent="0.35">
      <c r="A1268" s="1">
        <v>45388</v>
      </c>
      <c r="B1268" t="s">
        <v>11</v>
      </c>
      <c r="C1268" t="s">
        <v>19</v>
      </c>
      <c r="D1268" t="s">
        <v>30</v>
      </c>
      <c r="E1268">
        <v>13</v>
      </c>
      <c r="F1268">
        <v>203</v>
      </c>
      <c r="G1268" t="s">
        <v>40</v>
      </c>
      <c r="H1268">
        <v>2639</v>
      </c>
      <c r="I1268">
        <v>1964.5490832662649</v>
      </c>
      <c r="J1268">
        <v>674.45091673373486</v>
      </c>
    </row>
    <row r="1269" spans="1:10" x14ac:dyDescent="0.35">
      <c r="A1269" s="1">
        <v>45383</v>
      </c>
      <c r="B1269" t="s">
        <v>12</v>
      </c>
      <c r="C1269" t="s">
        <v>21</v>
      </c>
      <c r="D1269" t="s">
        <v>33</v>
      </c>
      <c r="E1269">
        <v>2</v>
      </c>
      <c r="G1269" t="s">
        <v>40</v>
      </c>
    </row>
    <row r="1270" spans="1:10" x14ac:dyDescent="0.35">
      <c r="A1270" s="1">
        <v>45555</v>
      </c>
      <c r="B1270" t="s">
        <v>13</v>
      </c>
      <c r="C1270" t="s">
        <v>17</v>
      </c>
      <c r="D1270" t="s">
        <v>35</v>
      </c>
      <c r="E1270">
        <v>11</v>
      </c>
      <c r="F1270">
        <v>525</v>
      </c>
      <c r="G1270" t="s">
        <v>38</v>
      </c>
      <c r="H1270">
        <v>5775</v>
      </c>
      <c r="I1270">
        <v>4817.7805474730094</v>
      </c>
      <c r="J1270">
        <v>957.21945252699061</v>
      </c>
    </row>
    <row r="1271" spans="1:10" x14ac:dyDescent="0.35">
      <c r="A1271" s="1">
        <v>45582</v>
      </c>
      <c r="B1271" t="s">
        <v>10</v>
      </c>
      <c r="C1271" t="s">
        <v>29</v>
      </c>
      <c r="D1271" t="s">
        <v>31</v>
      </c>
      <c r="E1271">
        <v>15</v>
      </c>
      <c r="F1271">
        <v>1224</v>
      </c>
      <c r="G1271" t="s">
        <v>40</v>
      </c>
      <c r="H1271">
        <v>18360</v>
      </c>
      <c r="I1271">
        <v>14795.56635450805</v>
      </c>
      <c r="J1271">
        <v>3564.4336454919539</v>
      </c>
    </row>
    <row r="1272" spans="1:10" x14ac:dyDescent="0.35">
      <c r="A1272" s="1">
        <v>45387</v>
      </c>
      <c r="B1272" t="s">
        <v>12</v>
      </c>
      <c r="C1272" t="s">
        <v>22</v>
      </c>
      <c r="D1272" t="s">
        <v>31</v>
      </c>
      <c r="E1272">
        <v>11</v>
      </c>
      <c r="F1272">
        <v>1664</v>
      </c>
      <c r="G1272" t="s">
        <v>40</v>
      </c>
      <c r="H1272">
        <v>18304</v>
      </c>
      <c r="I1272">
        <v>13459.699416140171</v>
      </c>
      <c r="J1272">
        <v>4844.3005838598347</v>
      </c>
    </row>
    <row r="1273" spans="1:10" x14ac:dyDescent="0.35">
      <c r="A1273" s="1">
        <v>45379</v>
      </c>
      <c r="B1273" t="s">
        <v>13</v>
      </c>
      <c r="C1273" t="s">
        <v>19</v>
      </c>
      <c r="D1273" t="s">
        <v>34</v>
      </c>
      <c r="E1273">
        <v>3</v>
      </c>
      <c r="F1273">
        <v>738</v>
      </c>
      <c r="G1273" t="s">
        <v>40</v>
      </c>
      <c r="H1273">
        <v>2214</v>
      </c>
      <c r="I1273">
        <v>1606.923407844241</v>
      </c>
      <c r="J1273">
        <v>607.07659215575904</v>
      </c>
    </row>
    <row r="1274" spans="1:10" x14ac:dyDescent="0.35">
      <c r="A1274" s="1">
        <v>45369</v>
      </c>
      <c r="B1274" t="s">
        <v>12</v>
      </c>
      <c r="C1274" t="s">
        <v>21</v>
      </c>
      <c r="D1274" t="s">
        <v>33</v>
      </c>
      <c r="F1274">
        <v>949</v>
      </c>
      <c r="G1274" t="s">
        <v>40</v>
      </c>
    </row>
    <row r="1275" spans="1:10" x14ac:dyDescent="0.35">
      <c r="A1275" s="1">
        <v>45579</v>
      </c>
      <c r="B1275" t="s">
        <v>10</v>
      </c>
      <c r="C1275" t="s">
        <v>19</v>
      </c>
      <c r="D1275" t="s">
        <v>34</v>
      </c>
      <c r="E1275">
        <v>12</v>
      </c>
      <c r="F1275">
        <v>1645</v>
      </c>
      <c r="G1275" t="s">
        <v>40</v>
      </c>
      <c r="H1275">
        <v>19740</v>
      </c>
      <c r="I1275">
        <v>11882.499791517879</v>
      </c>
      <c r="J1275">
        <v>7857.5002084821226</v>
      </c>
    </row>
    <row r="1276" spans="1:10" x14ac:dyDescent="0.35">
      <c r="A1276" s="1">
        <v>45411</v>
      </c>
      <c r="B1276" t="s">
        <v>10</v>
      </c>
      <c r="C1276" t="s">
        <v>17</v>
      </c>
      <c r="D1276" t="s">
        <v>31</v>
      </c>
      <c r="E1276">
        <v>5</v>
      </c>
      <c r="F1276">
        <v>1229</v>
      </c>
      <c r="G1276" t="s">
        <v>38</v>
      </c>
      <c r="H1276">
        <v>6145</v>
      </c>
      <c r="I1276">
        <v>4662.0160273014544</v>
      </c>
      <c r="J1276">
        <v>1482.983972698546</v>
      </c>
    </row>
    <row r="1277" spans="1:10" x14ac:dyDescent="0.35">
      <c r="A1277" s="1">
        <v>45593</v>
      </c>
      <c r="B1277" t="s">
        <v>11</v>
      </c>
      <c r="C1277" t="s">
        <v>20</v>
      </c>
      <c r="D1277" t="s">
        <v>30</v>
      </c>
      <c r="E1277">
        <v>7</v>
      </c>
      <c r="F1277">
        <v>1802</v>
      </c>
      <c r="G1277" t="s">
        <v>38</v>
      </c>
      <c r="H1277">
        <v>12614</v>
      </c>
      <c r="I1277">
        <v>9148.2764518689219</v>
      </c>
      <c r="J1277">
        <v>3465.7235481310781</v>
      </c>
    </row>
    <row r="1278" spans="1:10" x14ac:dyDescent="0.35">
      <c r="A1278" s="1">
        <v>45456</v>
      </c>
      <c r="B1278" t="s">
        <v>10</v>
      </c>
      <c r="C1278" t="s">
        <v>21</v>
      </c>
      <c r="D1278" t="s">
        <v>32</v>
      </c>
      <c r="E1278">
        <v>7</v>
      </c>
      <c r="F1278">
        <v>868</v>
      </c>
      <c r="G1278" t="s">
        <v>40</v>
      </c>
      <c r="H1278">
        <v>6076</v>
      </c>
      <c r="I1278">
        <v>5096.6158059489362</v>
      </c>
      <c r="J1278">
        <v>979.38419405106379</v>
      </c>
    </row>
    <row r="1279" spans="1:10" x14ac:dyDescent="0.35">
      <c r="A1279" s="1">
        <v>45473</v>
      </c>
      <c r="B1279" t="s">
        <v>10</v>
      </c>
      <c r="C1279" t="s">
        <v>22</v>
      </c>
      <c r="D1279" t="s">
        <v>33</v>
      </c>
      <c r="E1279">
        <v>13</v>
      </c>
      <c r="F1279">
        <v>1930</v>
      </c>
      <c r="G1279" t="s">
        <v>40</v>
      </c>
      <c r="H1279">
        <v>25090</v>
      </c>
      <c r="I1279">
        <v>19138.55708182371</v>
      </c>
      <c r="J1279">
        <v>5951.4429181762926</v>
      </c>
    </row>
    <row r="1280" spans="1:10" x14ac:dyDescent="0.35">
      <c r="A1280" s="1">
        <v>45514</v>
      </c>
      <c r="B1280" t="s">
        <v>13</v>
      </c>
      <c r="C1280" t="s">
        <v>17</v>
      </c>
      <c r="D1280" t="s">
        <v>36</v>
      </c>
      <c r="E1280">
        <v>9</v>
      </c>
      <c r="F1280">
        <v>376</v>
      </c>
      <c r="G1280" t="s">
        <v>38</v>
      </c>
      <c r="H1280">
        <v>3384</v>
      </c>
      <c r="I1280">
        <v>2981.3439752416348</v>
      </c>
      <c r="J1280">
        <v>402.65602475836482</v>
      </c>
    </row>
    <row r="1281" spans="1:10" x14ac:dyDescent="0.35">
      <c r="A1281" s="1">
        <v>45602</v>
      </c>
      <c r="B1281" t="s">
        <v>11</v>
      </c>
      <c r="C1281" t="s">
        <v>19</v>
      </c>
      <c r="D1281" t="s">
        <v>32</v>
      </c>
      <c r="E1281">
        <v>13</v>
      </c>
      <c r="F1281">
        <v>1188</v>
      </c>
      <c r="G1281" t="s">
        <v>40</v>
      </c>
      <c r="H1281">
        <v>15444</v>
      </c>
      <c r="I1281">
        <v>10175.15954928278</v>
      </c>
      <c r="J1281">
        <v>5268.8404507172218</v>
      </c>
    </row>
    <row r="1282" spans="1:10" x14ac:dyDescent="0.35">
      <c r="A1282" s="1">
        <v>45298</v>
      </c>
      <c r="B1282" t="s">
        <v>13</v>
      </c>
      <c r="D1282" t="s">
        <v>32</v>
      </c>
      <c r="E1282">
        <v>12</v>
      </c>
      <c r="F1282">
        <v>1906</v>
      </c>
      <c r="G1282" t="s">
        <v>40</v>
      </c>
      <c r="H1282">
        <v>22872</v>
      </c>
      <c r="I1282">
        <v>20517.215575585989</v>
      </c>
      <c r="J1282">
        <v>2354.784424414011</v>
      </c>
    </row>
    <row r="1283" spans="1:10" x14ac:dyDescent="0.35">
      <c r="A1283" s="1">
        <v>45621</v>
      </c>
      <c r="B1283" t="s">
        <v>12</v>
      </c>
      <c r="C1283" t="s">
        <v>20</v>
      </c>
      <c r="E1283">
        <v>13</v>
      </c>
      <c r="F1283">
        <v>999</v>
      </c>
      <c r="G1283" t="s">
        <v>38</v>
      </c>
      <c r="H1283">
        <v>12987</v>
      </c>
      <c r="I1283">
        <v>8952.9229729593972</v>
      </c>
      <c r="J1283">
        <v>4034.0770270406028</v>
      </c>
    </row>
    <row r="1284" spans="1:10" x14ac:dyDescent="0.35">
      <c r="A1284" s="1">
        <v>45554</v>
      </c>
      <c r="B1284" t="s">
        <v>10</v>
      </c>
      <c r="C1284" t="s">
        <v>22</v>
      </c>
      <c r="D1284" t="s">
        <v>36</v>
      </c>
      <c r="E1284">
        <v>10</v>
      </c>
      <c r="F1284">
        <v>287</v>
      </c>
      <c r="G1284" t="s">
        <v>40</v>
      </c>
      <c r="H1284">
        <v>2870</v>
      </c>
      <c r="I1284">
        <v>2275.127041246616</v>
      </c>
      <c r="J1284">
        <v>594.8729587533835</v>
      </c>
    </row>
    <row r="1285" spans="1:10" x14ac:dyDescent="0.35">
      <c r="A1285" s="1">
        <v>45452</v>
      </c>
      <c r="B1285" t="s">
        <v>12</v>
      </c>
      <c r="C1285" t="s">
        <v>22</v>
      </c>
      <c r="D1285" t="s">
        <v>30</v>
      </c>
      <c r="E1285">
        <v>1</v>
      </c>
      <c r="F1285">
        <v>1440</v>
      </c>
      <c r="G1285" t="s">
        <v>40</v>
      </c>
      <c r="H1285">
        <v>1440</v>
      </c>
      <c r="I1285">
        <v>1080.800804282394</v>
      </c>
      <c r="J1285">
        <v>359.19919571760647</v>
      </c>
    </row>
    <row r="1286" spans="1:10" x14ac:dyDescent="0.35">
      <c r="A1286" s="1">
        <v>45442</v>
      </c>
      <c r="B1286" t="s">
        <v>13</v>
      </c>
      <c r="C1286" t="s">
        <v>24</v>
      </c>
      <c r="D1286" t="s">
        <v>35</v>
      </c>
      <c r="E1286">
        <v>8</v>
      </c>
      <c r="F1286">
        <v>1261</v>
      </c>
      <c r="G1286" t="s">
        <v>40</v>
      </c>
      <c r="H1286">
        <v>10088</v>
      </c>
      <c r="I1286">
        <v>7141.0220207407283</v>
      </c>
      <c r="J1286">
        <v>2946.9779792592722</v>
      </c>
    </row>
    <row r="1287" spans="1:10" x14ac:dyDescent="0.35">
      <c r="A1287" s="1">
        <v>45376</v>
      </c>
      <c r="B1287" t="s">
        <v>10</v>
      </c>
      <c r="C1287" t="s">
        <v>22</v>
      </c>
      <c r="D1287" t="s">
        <v>30</v>
      </c>
      <c r="E1287">
        <v>16</v>
      </c>
      <c r="F1287">
        <v>1466</v>
      </c>
      <c r="G1287" t="s">
        <v>40</v>
      </c>
      <c r="H1287">
        <v>23456</v>
      </c>
      <c r="I1287">
        <v>15053.89086080229</v>
      </c>
      <c r="J1287">
        <v>8402.1091391977061</v>
      </c>
    </row>
    <row r="1288" spans="1:10" x14ac:dyDescent="0.35">
      <c r="A1288" s="1">
        <v>45438</v>
      </c>
      <c r="B1288" t="s">
        <v>10</v>
      </c>
      <c r="C1288" t="s">
        <v>20</v>
      </c>
      <c r="D1288" t="s">
        <v>30</v>
      </c>
      <c r="E1288">
        <v>13</v>
      </c>
      <c r="F1288">
        <v>204</v>
      </c>
      <c r="G1288" t="s">
        <v>38</v>
      </c>
      <c r="H1288">
        <v>2652</v>
      </c>
      <c r="I1288">
        <v>1698.4740508953801</v>
      </c>
      <c r="J1288">
        <v>953.52594910462039</v>
      </c>
    </row>
    <row r="1289" spans="1:10" x14ac:dyDescent="0.35">
      <c r="A1289" s="1">
        <v>45403</v>
      </c>
      <c r="B1289" t="s">
        <v>13</v>
      </c>
      <c r="C1289" t="s">
        <v>23</v>
      </c>
      <c r="D1289" t="s">
        <v>30</v>
      </c>
      <c r="E1289">
        <v>3</v>
      </c>
      <c r="F1289">
        <v>645</v>
      </c>
      <c r="G1289" t="s">
        <v>39</v>
      </c>
      <c r="H1289">
        <v>1935</v>
      </c>
      <c r="I1289">
        <v>1574.029132793042</v>
      </c>
      <c r="J1289">
        <v>360.97086720695762</v>
      </c>
    </row>
    <row r="1290" spans="1:10" x14ac:dyDescent="0.35">
      <c r="A1290" s="1">
        <v>45327</v>
      </c>
      <c r="B1290" t="s">
        <v>13</v>
      </c>
      <c r="C1290" t="s">
        <v>24</v>
      </c>
      <c r="D1290" t="s">
        <v>37</v>
      </c>
      <c r="E1290">
        <v>3</v>
      </c>
      <c r="F1290">
        <v>479</v>
      </c>
      <c r="G1290" t="s">
        <v>40</v>
      </c>
      <c r="H1290">
        <v>1437</v>
      </c>
      <c r="I1290">
        <v>1025.0012002010881</v>
      </c>
      <c r="J1290">
        <v>411.99879979891222</v>
      </c>
    </row>
    <row r="1291" spans="1:10" x14ac:dyDescent="0.35">
      <c r="A1291" s="1">
        <v>45576</v>
      </c>
      <c r="B1291" t="s">
        <v>13</v>
      </c>
      <c r="C1291" t="s">
        <v>24</v>
      </c>
      <c r="D1291" t="s">
        <v>34</v>
      </c>
      <c r="E1291">
        <v>5</v>
      </c>
      <c r="F1291">
        <v>209</v>
      </c>
      <c r="G1291" t="s">
        <v>40</v>
      </c>
      <c r="H1291">
        <v>1045</v>
      </c>
      <c r="I1291">
        <v>928.36691489067766</v>
      </c>
      <c r="J1291">
        <v>116.63308510932229</v>
      </c>
    </row>
    <row r="1292" spans="1:10" x14ac:dyDescent="0.35">
      <c r="A1292" s="1">
        <v>45479</v>
      </c>
      <c r="B1292" t="s">
        <v>13</v>
      </c>
      <c r="D1292" t="s">
        <v>31</v>
      </c>
      <c r="E1292">
        <v>11</v>
      </c>
      <c r="F1292">
        <v>644</v>
      </c>
      <c r="G1292" t="s">
        <v>40</v>
      </c>
      <c r="H1292">
        <v>7084</v>
      </c>
      <c r="I1292">
        <v>4942.4681635232691</v>
      </c>
      <c r="J1292">
        <v>2141.5318364767309</v>
      </c>
    </row>
    <row r="1293" spans="1:10" x14ac:dyDescent="0.35">
      <c r="A1293" s="1">
        <v>45373</v>
      </c>
      <c r="B1293" t="s">
        <v>13</v>
      </c>
      <c r="C1293" t="s">
        <v>19</v>
      </c>
      <c r="D1293" t="s">
        <v>34</v>
      </c>
      <c r="E1293">
        <v>7</v>
      </c>
      <c r="F1293">
        <v>453</v>
      </c>
      <c r="G1293" t="s">
        <v>40</v>
      </c>
      <c r="H1293">
        <v>3171</v>
      </c>
      <c r="I1293">
        <v>2838.2261164988372</v>
      </c>
      <c r="J1293">
        <v>332.7738835011628</v>
      </c>
    </row>
    <row r="1294" spans="1:10" x14ac:dyDescent="0.35">
      <c r="A1294" s="1">
        <v>45293</v>
      </c>
      <c r="B1294" t="s">
        <v>10</v>
      </c>
      <c r="C1294" t="s">
        <v>22</v>
      </c>
      <c r="D1294" t="s">
        <v>33</v>
      </c>
      <c r="E1294">
        <v>10</v>
      </c>
      <c r="F1294">
        <v>842</v>
      </c>
      <c r="G1294" t="s">
        <v>40</v>
      </c>
      <c r="H1294">
        <v>8420</v>
      </c>
      <c r="I1294">
        <v>5570.8991461596333</v>
      </c>
      <c r="J1294">
        <v>2849.1008538403671</v>
      </c>
    </row>
    <row r="1295" spans="1:10" x14ac:dyDescent="0.35">
      <c r="A1295" s="1">
        <v>45594</v>
      </c>
      <c r="B1295" t="s">
        <v>13</v>
      </c>
      <c r="C1295" t="s">
        <v>24</v>
      </c>
      <c r="D1295" t="s">
        <v>30</v>
      </c>
      <c r="E1295">
        <v>10</v>
      </c>
      <c r="F1295">
        <v>416</v>
      </c>
      <c r="G1295" t="s">
        <v>40</v>
      </c>
      <c r="H1295">
        <v>4160</v>
      </c>
      <c r="I1295">
        <v>2624.3123540163551</v>
      </c>
      <c r="J1295">
        <v>1535.6876459836451</v>
      </c>
    </row>
    <row r="1296" spans="1:10" x14ac:dyDescent="0.35">
      <c r="A1296" s="1">
        <v>45488</v>
      </c>
      <c r="B1296" t="s">
        <v>10</v>
      </c>
      <c r="C1296" t="s">
        <v>18</v>
      </c>
      <c r="D1296" t="s">
        <v>35</v>
      </c>
      <c r="F1296">
        <v>1389</v>
      </c>
      <c r="G1296" t="s">
        <v>39</v>
      </c>
    </row>
    <row r="1297" spans="1:10" x14ac:dyDescent="0.35">
      <c r="A1297" s="1">
        <v>45302</v>
      </c>
      <c r="B1297" t="s">
        <v>10</v>
      </c>
      <c r="C1297" t="s">
        <v>19</v>
      </c>
      <c r="E1297">
        <v>3</v>
      </c>
      <c r="F1297">
        <v>1817</v>
      </c>
      <c r="G1297" t="s">
        <v>40</v>
      </c>
      <c r="H1297">
        <v>5451</v>
      </c>
      <c r="I1297">
        <v>4718.7968061525717</v>
      </c>
      <c r="J1297">
        <v>732.20319384742834</v>
      </c>
    </row>
    <row r="1298" spans="1:10" x14ac:dyDescent="0.35">
      <c r="A1298" s="1">
        <v>45525</v>
      </c>
      <c r="B1298" t="s">
        <v>13</v>
      </c>
      <c r="C1298" t="s">
        <v>20</v>
      </c>
      <c r="D1298" t="s">
        <v>34</v>
      </c>
      <c r="E1298">
        <v>8</v>
      </c>
      <c r="F1298">
        <v>1975</v>
      </c>
      <c r="G1298" t="s">
        <v>38</v>
      </c>
      <c r="H1298">
        <v>15800</v>
      </c>
      <c r="I1298">
        <v>11953.57821690765</v>
      </c>
      <c r="J1298">
        <v>3846.4217830923499</v>
      </c>
    </row>
    <row r="1299" spans="1:10" x14ac:dyDescent="0.35">
      <c r="A1299" s="1">
        <v>45486</v>
      </c>
      <c r="B1299" t="s">
        <v>13</v>
      </c>
      <c r="C1299" t="s">
        <v>18</v>
      </c>
      <c r="D1299" t="s">
        <v>31</v>
      </c>
      <c r="E1299">
        <v>11</v>
      </c>
      <c r="F1299">
        <v>1188</v>
      </c>
      <c r="G1299" t="s">
        <v>39</v>
      </c>
      <c r="H1299">
        <v>13068</v>
      </c>
      <c r="I1299">
        <v>8372.6026753162296</v>
      </c>
      <c r="J1299">
        <v>4695.3973246837704</v>
      </c>
    </row>
    <row r="1300" spans="1:10" x14ac:dyDescent="0.35">
      <c r="A1300" s="1">
        <v>45410</v>
      </c>
      <c r="B1300" t="s">
        <v>11</v>
      </c>
      <c r="C1300" t="s">
        <v>19</v>
      </c>
      <c r="D1300" t="s">
        <v>36</v>
      </c>
      <c r="E1300">
        <v>13</v>
      </c>
      <c r="F1300">
        <v>432</v>
      </c>
      <c r="G1300" t="s">
        <v>40</v>
      </c>
      <c r="H1300">
        <v>5616</v>
      </c>
      <c r="I1300">
        <v>3710.7703987729792</v>
      </c>
      <c r="J1300">
        <v>1905.229601227021</v>
      </c>
    </row>
    <row r="1301" spans="1:10" x14ac:dyDescent="0.35">
      <c r="A1301" s="1">
        <v>45311</v>
      </c>
      <c r="B1301" t="s">
        <v>10</v>
      </c>
      <c r="C1301" t="s">
        <v>21</v>
      </c>
      <c r="D1301" t="s">
        <v>34</v>
      </c>
      <c r="E1301">
        <v>7</v>
      </c>
      <c r="F1301">
        <v>1636</v>
      </c>
      <c r="G1301" t="s">
        <v>40</v>
      </c>
      <c r="H1301">
        <v>11452</v>
      </c>
      <c r="I1301">
        <v>7940.5671308810388</v>
      </c>
      <c r="J1301">
        <v>3511.4328691189612</v>
      </c>
    </row>
    <row r="1302" spans="1:10" x14ac:dyDescent="0.35">
      <c r="A1302" s="1">
        <v>45552</v>
      </c>
      <c r="B1302" t="s">
        <v>13</v>
      </c>
      <c r="C1302" t="s">
        <v>21</v>
      </c>
      <c r="D1302" t="s">
        <v>32</v>
      </c>
      <c r="E1302">
        <v>13</v>
      </c>
      <c r="F1302">
        <v>1256</v>
      </c>
      <c r="G1302" t="s">
        <v>40</v>
      </c>
      <c r="H1302">
        <v>16328</v>
      </c>
      <c r="I1302">
        <v>12687.672748501769</v>
      </c>
      <c r="J1302">
        <v>3640.3272514982332</v>
      </c>
    </row>
    <row r="1303" spans="1:10" x14ac:dyDescent="0.35">
      <c r="A1303" s="1">
        <v>45584</v>
      </c>
      <c r="B1303" t="s">
        <v>13</v>
      </c>
      <c r="C1303" t="s">
        <v>19</v>
      </c>
      <c r="D1303" t="s">
        <v>34</v>
      </c>
      <c r="E1303">
        <v>2</v>
      </c>
      <c r="F1303">
        <v>691</v>
      </c>
      <c r="G1303" t="s">
        <v>40</v>
      </c>
      <c r="H1303">
        <v>1382</v>
      </c>
      <c r="I1303">
        <v>967.00430847326152</v>
      </c>
      <c r="J1303">
        <v>414.99569152673848</v>
      </c>
    </row>
    <row r="1304" spans="1:10" x14ac:dyDescent="0.35">
      <c r="A1304" s="1">
        <v>45547</v>
      </c>
      <c r="B1304" t="s">
        <v>13</v>
      </c>
      <c r="C1304" t="s">
        <v>24</v>
      </c>
      <c r="D1304" t="s">
        <v>32</v>
      </c>
      <c r="E1304">
        <v>6</v>
      </c>
      <c r="F1304">
        <v>882</v>
      </c>
      <c r="G1304" t="s">
        <v>40</v>
      </c>
      <c r="H1304">
        <v>5292</v>
      </c>
      <c r="I1304">
        <v>4361.2230607250158</v>
      </c>
      <c r="J1304">
        <v>930.77693927498422</v>
      </c>
    </row>
    <row r="1305" spans="1:10" x14ac:dyDescent="0.35">
      <c r="A1305" s="1">
        <v>45513</v>
      </c>
      <c r="B1305" t="s">
        <v>11</v>
      </c>
      <c r="D1305" t="s">
        <v>36</v>
      </c>
      <c r="E1305">
        <v>9</v>
      </c>
      <c r="F1305">
        <v>1876</v>
      </c>
      <c r="G1305" t="s">
        <v>39</v>
      </c>
      <c r="H1305">
        <v>16884</v>
      </c>
      <c r="I1305">
        <v>13252.050120789771</v>
      </c>
      <c r="J1305">
        <v>3631.9498792102349</v>
      </c>
    </row>
    <row r="1306" spans="1:10" x14ac:dyDescent="0.35">
      <c r="A1306" s="1">
        <v>45517</v>
      </c>
      <c r="B1306" t="s">
        <v>11</v>
      </c>
      <c r="C1306" t="s">
        <v>23</v>
      </c>
      <c r="D1306" t="s">
        <v>34</v>
      </c>
      <c r="E1306">
        <v>2</v>
      </c>
      <c r="F1306">
        <v>639</v>
      </c>
      <c r="G1306" t="s">
        <v>39</v>
      </c>
      <c r="H1306">
        <v>1278</v>
      </c>
      <c r="I1306">
        <v>1101.8240209012711</v>
      </c>
      <c r="J1306">
        <v>176.17597909872941</v>
      </c>
    </row>
    <row r="1307" spans="1:10" x14ac:dyDescent="0.35">
      <c r="A1307" s="1">
        <v>45344</v>
      </c>
      <c r="B1307" t="s">
        <v>12</v>
      </c>
      <c r="C1307" t="s">
        <v>24</v>
      </c>
      <c r="D1307" t="s">
        <v>35</v>
      </c>
      <c r="E1307">
        <v>18</v>
      </c>
      <c r="F1307">
        <v>834</v>
      </c>
      <c r="G1307" t="s">
        <v>40</v>
      </c>
      <c r="H1307">
        <v>15012</v>
      </c>
      <c r="I1307">
        <v>11263.33168119203</v>
      </c>
      <c r="J1307">
        <v>3748.668318807966</v>
      </c>
    </row>
    <row r="1308" spans="1:10" x14ac:dyDescent="0.35">
      <c r="A1308" s="1">
        <v>45646</v>
      </c>
      <c r="B1308" t="s">
        <v>10</v>
      </c>
      <c r="C1308" t="s">
        <v>17</v>
      </c>
      <c r="E1308">
        <v>16</v>
      </c>
      <c r="F1308">
        <v>1658</v>
      </c>
      <c r="G1308" t="s">
        <v>38</v>
      </c>
      <c r="H1308">
        <v>26528</v>
      </c>
      <c r="I1308">
        <v>18552.434373981941</v>
      </c>
      <c r="J1308">
        <v>7975.5656260180622</v>
      </c>
    </row>
    <row r="1309" spans="1:10" x14ac:dyDescent="0.35">
      <c r="A1309" s="1">
        <v>45633</v>
      </c>
      <c r="B1309" t="s">
        <v>12</v>
      </c>
      <c r="C1309" t="s">
        <v>23</v>
      </c>
      <c r="D1309" t="s">
        <v>33</v>
      </c>
      <c r="E1309">
        <v>12</v>
      </c>
      <c r="F1309">
        <v>1619</v>
      </c>
      <c r="G1309" t="s">
        <v>39</v>
      </c>
      <c r="H1309">
        <v>19428</v>
      </c>
      <c r="I1309">
        <v>17463.4692057842</v>
      </c>
      <c r="J1309">
        <v>1964.5307942158031</v>
      </c>
    </row>
    <row r="1310" spans="1:10" x14ac:dyDescent="0.35">
      <c r="A1310" s="1">
        <v>45655</v>
      </c>
      <c r="B1310" t="s">
        <v>13</v>
      </c>
      <c r="C1310" t="s">
        <v>21</v>
      </c>
      <c r="D1310" t="s">
        <v>36</v>
      </c>
      <c r="E1310">
        <v>7</v>
      </c>
      <c r="F1310">
        <v>720</v>
      </c>
      <c r="G1310" t="s">
        <v>40</v>
      </c>
      <c r="H1310">
        <v>5040</v>
      </c>
      <c r="I1310">
        <v>3561.7175825727222</v>
      </c>
      <c r="J1310">
        <v>1478.282417427278</v>
      </c>
    </row>
    <row r="1311" spans="1:10" x14ac:dyDescent="0.35">
      <c r="A1311" s="1">
        <v>45571</v>
      </c>
      <c r="B1311" t="s">
        <v>11</v>
      </c>
      <c r="C1311" t="s">
        <v>20</v>
      </c>
      <c r="D1311" t="s">
        <v>30</v>
      </c>
      <c r="E1311">
        <v>7</v>
      </c>
      <c r="F1311">
        <v>718</v>
      </c>
      <c r="G1311" t="s">
        <v>38</v>
      </c>
      <c r="H1311">
        <v>5026</v>
      </c>
      <c r="I1311">
        <v>3661.847060261056</v>
      </c>
      <c r="J1311">
        <v>1364.152939738944</v>
      </c>
    </row>
    <row r="1312" spans="1:10" x14ac:dyDescent="0.35">
      <c r="A1312" s="1">
        <v>45372</v>
      </c>
      <c r="B1312" t="s">
        <v>11</v>
      </c>
      <c r="C1312" t="s">
        <v>24</v>
      </c>
      <c r="D1312" t="s">
        <v>35</v>
      </c>
      <c r="E1312">
        <v>17</v>
      </c>
      <c r="F1312">
        <v>1780</v>
      </c>
      <c r="G1312" t="s">
        <v>40</v>
      </c>
      <c r="H1312">
        <v>30260</v>
      </c>
      <c r="I1312">
        <v>25501.256951800729</v>
      </c>
      <c r="J1312">
        <v>4758.7430481992742</v>
      </c>
    </row>
    <row r="1313" spans="1:10" x14ac:dyDescent="0.35">
      <c r="A1313" s="1">
        <v>45493</v>
      </c>
      <c r="B1313" t="s">
        <v>12</v>
      </c>
      <c r="C1313" t="s">
        <v>22</v>
      </c>
      <c r="D1313" t="s">
        <v>34</v>
      </c>
      <c r="E1313">
        <v>13</v>
      </c>
      <c r="F1313">
        <v>1492</v>
      </c>
      <c r="G1313" t="s">
        <v>40</v>
      </c>
      <c r="H1313">
        <v>19396</v>
      </c>
      <c r="I1313">
        <v>12153.356517777131</v>
      </c>
      <c r="J1313">
        <v>7242.643482222873</v>
      </c>
    </row>
    <row r="1314" spans="1:10" x14ac:dyDescent="0.35">
      <c r="A1314" s="1">
        <v>45449</v>
      </c>
      <c r="B1314" t="s">
        <v>11</v>
      </c>
      <c r="C1314" t="s">
        <v>21</v>
      </c>
      <c r="D1314" t="s">
        <v>36</v>
      </c>
      <c r="E1314">
        <v>11</v>
      </c>
      <c r="F1314">
        <v>1989</v>
      </c>
      <c r="G1314" t="s">
        <v>40</v>
      </c>
      <c r="H1314">
        <v>21879</v>
      </c>
      <c r="I1314">
        <v>15664.20510913627</v>
      </c>
      <c r="J1314">
        <v>6214.7948908637281</v>
      </c>
    </row>
    <row r="1315" spans="1:10" x14ac:dyDescent="0.35">
      <c r="A1315" s="1">
        <v>45411</v>
      </c>
      <c r="B1315" t="s">
        <v>13</v>
      </c>
      <c r="C1315" t="s">
        <v>20</v>
      </c>
      <c r="D1315" t="s">
        <v>31</v>
      </c>
      <c r="E1315">
        <v>6</v>
      </c>
      <c r="F1315">
        <v>1008</v>
      </c>
      <c r="G1315" t="s">
        <v>38</v>
      </c>
      <c r="H1315">
        <v>6048</v>
      </c>
      <c r="I1315">
        <v>3784.312393534422</v>
      </c>
      <c r="J1315">
        <v>2263.687606465578</v>
      </c>
    </row>
    <row r="1316" spans="1:10" x14ac:dyDescent="0.35">
      <c r="A1316" s="1">
        <v>45350</v>
      </c>
      <c r="B1316" t="s">
        <v>11</v>
      </c>
      <c r="C1316" t="s">
        <v>20</v>
      </c>
      <c r="D1316" t="s">
        <v>32</v>
      </c>
      <c r="E1316">
        <v>14</v>
      </c>
      <c r="F1316">
        <v>1774</v>
      </c>
      <c r="G1316" t="s">
        <v>38</v>
      </c>
      <c r="H1316">
        <v>24836</v>
      </c>
      <c r="I1316">
        <v>15939.540151405379</v>
      </c>
      <c r="J1316">
        <v>8896.4598485946153</v>
      </c>
    </row>
    <row r="1317" spans="1:10" x14ac:dyDescent="0.35">
      <c r="A1317" s="1">
        <v>45506</v>
      </c>
      <c r="B1317" t="s">
        <v>12</v>
      </c>
      <c r="C1317" t="s">
        <v>24</v>
      </c>
      <c r="D1317" t="s">
        <v>34</v>
      </c>
      <c r="E1317">
        <v>6</v>
      </c>
      <c r="F1317">
        <v>1919</v>
      </c>
      <c r="G1317" t="s">
        <v>40</v>
      </c>
      <c r="H1317">
        <v>11514</v>
      </c>
      <c r="I1317">
        <v>6924.4303394352146</v>
      </c>
      <c r="J1317">
        <v>4589.5696605647854</v>
      </c>
    </row>
    <row r="1318" spans="1:10" x14ac:dyDescent="0.35">
      <c r="A1318" s="1">
        <v>45419</v>
      </c>
      <c r="B1318" t="s">
        <v>13</v>
      </c>
      <c r="C1318" t="s">
        <v>20</v>
      </c>
      <c r="D1318" t="s">
        <v>32</v>
      </c>
      <c r="E1318">
        <v>6</v>
      </c>
      <c r="G1318" t="s">
        <v>38</v>
      </c>
    </row>
    <row r="1319" spans="1:10" x14ac:dyDescent="0.35">
      <c r="A1319" s="1">
        <v>45515</v>
      </c>
      <c r="B1319" t="s">
        <v>12</v>
      </c>
      <c r="C1319" t="s">
        <v>24</v>
      </c>
      <c r="D1319" t="s">
        <v>32</v>
      </c>
      <c r="E1319">
        <v>2</v>
      </c>
      <c r="F1319">
        <v>1091</v>
      </c>
      <c r="G1319" t="s">
        <v>40</v>
      </c>
      <c r="H1319">
        <v>2182</v>
      </c>
      <c r="I1319">
        <v>1558.1364524685671</v>
      </c>
      <c r="J1319">
        <v>623.86354753143314</v>
      </c>
    </row>
    <row r="1320" spans="1:10" x14ac:dyDescent="0.35">
      <c r="A1320" s="1">
        <v>45500</v>
      </c>
      <c r="B1320" t="s">
        <v>11</v>
      </c>
      <c r="C1320" t="s">
        <v>23</v>
      </c>
      <c r="D1320" t="s">
        <v>30</v>
      </c>
      <c r="E1320">
        <v>15</v>
      </c>
      <c r="F1320">
        <v>198</v>
      </c>
      <c r="G1320" t="s">
        <v>39</v>
      </c>
      <c r="H1320">
        <v>2970</v>
      </c>
      <c r="I1320">
        <v>2502.964950208469</v>
      </c>
      <c r="J1320">
        <v>467.03504979153149</v>
      </c>
    </row>
    <row r="1321" spans="1:10" x14ac:dyDescent="0.35">
      <c r="A1321" s="1">
        <v>45406</v>
      </c>
      <c r="B1321" t="s">
        <v>12</v>
      </c>
      <c r="C1321" t="s">
        <v>19</v>
      </c>
      <c r="D1321" t="s">
        <v>36</v>
      </c>
      <c r="E1321">
        <v>17</v>
      </c>
      <c r="F1321">
        <v>416</v>
      </c>
      <c r="G1321" t="s">
        <v>40</v>
      </c>
      <c r="H1321">
        <v>7072</v>
      </c>
      <c r="I1321">
        <v>5488.5884514313357</v>
      </c>
      <c r="J1321">
        <v>1583.4115485686641</v>
      </c>
    </row>
    <row r="1322" spans="1:10" x14ac:dyDescent="0.35">
      <c r="A1322" s="1">
        <v>45500</v>
      </c>
      <c r="B1322" t="s">
        <v>12</v>
      </c>
      <c r="C1322" t="s">
        <v>21</v>
      </c>
      <c r="D1322" t="s">
        <v>36</v>
      </c>
      <c r="E1322">
        <v>8</v>
      </c>
      <c r="F1322">
        <v>222</v>
      </c>
      <c r="G1322" t="s">
        <v>40</v>
      </c>
      <c r="H1322">
        <v>1776</v>
      </c>
      <c r="I1322">
        <v>1403.8822027165361</v>
      </c>
      <c r="J1322">
        <v>372.11779728346369</v>
      </c>
    </row>
    <row r="1323" spans="1:10" x14ac:dyDescent="0.35">
      <c r="A1323" s="1">
        <v>45305</v>
      </c>
      <c r="B1323" t="s">
        <v>10</v>
      </c>
      <c r="C1323" t="s">
        <v>17</v>
      </c>
      <c r="D1323" t="s">
        <v>33</v>
      </c>
      <c r="E1323">
        <v>5</v>
      </c>
      <c r="F1323">
        <v>1443</v>
      </c>
      <c r="G1323" t="s">
        <v>38</v>
      </c>
      <c r="H1323">
        <v>7215</v>
      </c>
      <c r="I1323">
        <v>5452.9149747524862</v>
      </c>
      <c r="J1323">
        <v>1762.0850252475141</v>
      </c>
    </row>
    <row r="1324" spans="1:10" x14ac:dyDescent="0.35">
      <c r="A1324" s="1">
        <v>45300</v>
      </c>
      <c r="B1324" t="s">
        <v>11</v>
      </c>
      <c r="C1324" t="s">
        <v>19</v>
      </c>
      <c r="D1324" t="s">
        <v>32</v>
      </c>
      <c r="E1324">
        <v>17</v>
      </c>
      <c r="F1324">
        <v>898</v>
      </c>
      <c r="G1324" t="s">
        <v>40</v>
      </c>
      <c r="H1324">
        <v>15266</v>
      </c>
      <c r="I1324">
        <v>12914.08864167233</v>
      </c>
      <c r="J1324">
        <v>2351.911358327674</v>
      </c>
    </row>
    <row r="1325" spans="1:10" x14ac:dyDescent="0.35">
      <c r="A1325" s="1">
        <v>45331</v>
      </c>
      <c r="B1325" t="s">
        <v>11</v>
      </c>
      <c r="C1325" t="s">
        <v>21</v>
      </c>
      <c r="D1325" t="s">
        <v>33</v>
      </c>
      <c r="E1325">
        <v>1</v>
      </c>
      <c r="F1325">
        <v>1716</v>
      </c>
      <c r="G1325" t="s">
        <v>40</v>
      </c>
      <c r="H1325">
        <v>1716</v>
      </c>
      <c r="I1325">
        <v>1482.8189677258431</v>
      </c>
      <c r="J1325">
        <v>233.18103227415739</v>
      </c>
    </row>
    <row r="1326" spans="1:10" x14ac:dyDescent="0.35">
      <c r="A1326" s="1">
        <v>45528</v>
      </c>
      <c r="B1326" t="s">
        <v>12</v>
      </c>
      <c r="C1326" t="s">
        <v>24</v>
      </c>
      <c r="D1326" t="s">
        <v>30</v>
      </c>
      <c r="E1326">
        <v>18</v>
      </c>
      <c r="F1326">
        <v>1618</v>
      </c>
      <c r="G1326" t="s">
        <v>40</v>
      </c>
      <c r="H1326">
        <v>29124</v>
      </c>
      <c r="I1326">
        <v>24898.754689951769</v>
      </c>
      <c r="J1326">
        <v>4225.2453100482271</v>
      </c>
    </row>
    <row r="1327" spans="1:10" x14ac:dyDescent="0.35">
      <c r="A1327" s="1">
        <v>45572</v>
      </c>
      <c r="B1327" t="s">
        <v>10</v>
      </c>
      <c r="C1327" t="s">
        <v>21</v>
      </c>
      <c r="D1327" t="s">
        <v>32</v>
      </c>
      <c r="E1327">
        <v>15</v>
      </c>
      <c r="F1327">
        <v>556</v>
      </c>
      <c r="G1327" t="s">
        <v>40</v>
      </c>
      <c r="H1327">
        <v>8340</v>
      </c>
      <c r="I1327">
        <v>7035.9545287192041</v>
      </c>
      <c r="J1327">
        <v>1304.0454712807959</v>
      </c>
    </row>
    <row r="1328" spans="1:10" x14ac:dyDescent="0.35">
      <c r="A1328" s="1">
        <v>45650</v>
      </c>
      <c r="B1328" t="s">
        <v>11</v>
      </c>
      <c r="C1328" t="s">
        <v>23</v>
      </c>
      <c r="D1328" t="s">
        <v>33</v>
      </c>
      <c r="E1328">
        <v>5</v>
      </c>
      <c r="F1328">
        <v>621</v>
      </c>
      <c r="G1328" t="s">
        <v>39</v>
      </c>
      <c r="H1328">
        <v>3105</v>
      </c>
      <c r="I1328">
        <v>2033.1972280241989</v>
      </c>
      <c r="J1328">
        <v>1071.8027719758011</v>
      </c>
    </row>
    <row r="1329" spans="1:10" x14ac:dyDescent="0.35">
      <c r="A1329" s="1">
        <v>45492</v>
      </c>
      <c r="B1329" t="s">
        <v>13</v>
      </c>
      <c r="C1329" t="s">
        <v>24</v>
      </c>
      <c r="D1329" t="s">
        <v>33</v>
      </c>
      <c r="E1329">
        <v>7</v>
      </c>
      <c r="F1329">
        <v>619</v>
      </c>
      <c r="G1329" t="s">
        <v>40</v>
      </c>
      <c r="H1329">
        <v>4333</v>
      </c>
      <c r="I1329">
        <v>3371.7797053522509</v>
      </c>
      <c r="J1329">
        <v>961.22029464774914</v>
      </c>
    </row>
    <row r="1330" spans="1:10" x14ac:dyDescent="0.35">
      <c r="A1330" s="1">
        <v>45537</v>
      </c>
      <c r="B1330" t="s">
        <v>12</v>
      </c>
      <c r="C1330" t="s">
        <v>19</v>
      </c>
      <c r="D1330" t="s">
        <v>31</v>
      </c>
      <c r="E1330">
        <v>18</v>
      </c>
      <c r="F1330">
        <v>1016</v>
      </c>
      <c r="G1330" t="s">
        <v>40</v>
      </c>
      <c r="H1330">
        <v>18288</v>
      </c>
      <c r="I1330">
        <v>14166.7801590741</v>
      </c>
      <c r="J1330">
        <v>4121.2198409258999</v>
      </c>
    </row>
    <row r="1331" spans="1:10" x14ac:dyDescent="0.35">
      <c r="A1331" s="1">
        <v>45569</v>
      </c>
      <c r="B1331" t="s">
        <v>11</v>
      </c>
      <c r="C1331" t="s">
        <v>22</v>
      </c>
      <c r="D1331" t="s">
        <v>33</v>
      </c>
      <c r="E1331">
        <v>6</v>
      </c>
      <c r="F1331">
        <v>816</v>
      </c>
      <c r="G1331" t="s">
        <v>40</v>
      </c>
      <c r="H1331">
        <v>4896</v>
      </c>
      <c r="I1331">
        <v>3713.044152704535</v>
      </c>
      <c r="J1331">
        <v>1182.955847295465</v>
      </c>
    </row>
    <row r="1332" spans="1:10" x14ac:dyDescent="0.35">
      <c r="A1332" s="1">
        <v>45526</v>
      </c>
      <c r="B1332" t="s">
        <v>13</v>
      </c>
      <c r="C1332" t="s">
        <v>22</v>
      </c>
      <c r="D1332" t="s">
        <v>36</v>
      </c>
      <c r="E1332">
        <v>5</v>
      </c>
      <c r="F1332">
        <v>414</v>
      </c>
      <c r="G1332" t="s">
        <v>40</v>
      </c>
      <c r="H1332">
        <v>2070</v>
      </c>
      <c r="I1332">
        <v>1540.5847421532919</v>
      </c>
      <c r="J1332">
        <v>529.4152578467083</v>
      </c>
    </row>
    <row r="1333" spans="1:10" x14ac:dyDescent="0.35">
      <c r="A1333" s="1">
        <v>45295</v>
      </c>
      <c r="B1333" t="s">
        <v>11</v>
      </c>
      <c r="C1333" t="s">
        <v>18</v>
      </c>
      <c r="D1333" t="s">
        <v>33</v>
      </c>
      <c r="E1333">
        <v>19</v>
      </c>
      <c r="F1333">
        <v>808</v>
      </c>
      <c r="G1333" t="s">
        <v>39</v>
      </c>
      <c r="H1333">
        <v>15352</v>
      </c>
      <c r="I1333">
        <v>9621.8835497296077</v>
      </c>
      <c r="J1333">
        <v>5730.1164502703923</v>
      </c>
    </row>
    <row r="1334" spans="1:10" x14ac:dyDescent="0.35">
      <c r="A1334" s="1">
        <v>45445</v>
      </c>
      <c r="B1334" t="s">
        <v>13</v>
      </c>
      <c r="C1334" t="s">
        <v>18</v>
      </c>
      <c r="D1334" t="s">
        <v>32</v>
      </c>
      <c r="E1334">
        <v>10</v>
      </c>
      <c r="F1334">
        <v>809</v>
      </c>
      <c r="G1334" t="s">
        <v>39</v>
      </c>
      <c r="H1334">
        <v>8090</v>
      </c>
      <c r="I1334">
        <v>5101.9501686903996</v>
      </c>
      <c r="J1334">
        <v>2988.0498313096</v>
      </c>
    </row>
    <row r="1335" spans="1:10" x14ac:dyDescent="0.35">
      <c r="A1335" s="1">
        <v>45320</v>
      </c>
      <c r="B1335" t="s">
        <v>12</v>
      </c>
      <c r="C1335" t="s">
        <v>21</v>
      </c>
      <c r="D1335" t="s">
        <v>33</v>
      </c>
      <c r="E1335">
        <v>15</v>
      </c>
      <c r="F1335">
        <v>1665</v>
      </c>
      <c r="G1335" t="s">
        <v>40</v>
      </c>
      <c r="H1335">
        <v>24975</v>
      </c>
      <c r="I1335">
        <v>21745.344666526369</v>
      </c>
      <c r="J1335">
        <v>3229.6553334736268</v>
      </c>
    </row>
    <row r="1336" spans="1:10" x14ac:dyDescent="0.35">
      <c r="A1336" s="1">
        <v>45400</v>
      </c>
      <c r="B1336" t="s">
        <v>11</v>
      </c>
      <c r="C1336" t="s">
        <v>22</v>
      </c>
      <c r="D1336" t="s">
        <v>35</v>
      </c>
      <c r="E1336">
        <v>10</v>
      </c>
      <c r="F1336">
        <v>1602</v>
      </c>
      <c r="G1336" t="s">
        <v>40</v>
      </c>
      <c r="H1336">
        <v>16020</v>
      </c>
      <c r="I1336">
        <v>12640.67602641648</v>
      </c>
      <c r="J1336">
        <v>3379.32397358352</v>
      </c>
    </row>
    <row r="1337" spans="1:10" x14ac:dyDescent="0.35">
      <c r="A1337" s="1">
        <v>45389</v>
      </c>
      <c r="B1337" t="s">
        <v>11</v>
      </c>
      <c r="C1337" t="s">
        <v>24</v>
      </c>
      <c r="D1337" t="s">
        <v>37</v>
      </c>
      <c r="E1337">
        <v>16</v>
      </c>
      <c r="F1337">
        <v>1143</v>
      </c>
      <c r="G1337" t="s">
        <v>40</v>
      </c>
      <c r="H1337">
        <v>18288</v>
      </c>
      <c r="I1337">
        <v>12411.97716562186</v>
      </c>
      <c r="J1337">
        <v>5876.0228343781382</v>
      </c>
    </row>
    <row r="1338" spans="1:10" x14ac:dyDescent="0.35">
      <c r="A1338" s="1">
        <v>45506</v>
      </c>
      <c r="B1338" t="s">
        <v>10</v>
      </c>
      <c r="C1338" t="s">
        <v>20</v>
      </c>
      <c r="D1338" t="s">
        <v>32</v>
      </c>
      <c r="E1338">
        <v>12</v>
      </c>
      <c r="F1338">
        <v>659</v>
      </c>
      <c r="G1338" t="s">
        <v>38</v>
      </c>
      <c r="H1338">
        <v>7908</v>
      </c>
      <c r="I1338">
        <v>5407.412243370004</v>
      </c>
      <c r="J1338">
        <v>2500.587756629996</v>
      </c>
    </row>
    <row r="1339" spans="1:10" x14ac:dyDescent="0.35">
      <c r="A1339" s="1">
        <v>45584</v>
      </c>
      <c r="B1339" t="s">
        <v>12</v>
      </c>
      <c r="C1339" t="s">
        <v>24</v>
      </c>
      <c r="D1339" t="s">
        <v>35</v>
      </c>
      <c r="E1339">
        <v>18</v>
      </c>
      <c r="F1339">
        <v>1068</v>
      </c>
      <c r="G1339" t="s">
        <v>40</v>
      </c>
      <c r="H1339">
        <v>19224</v>
      </c>
      <c r="I1339">
        <v>15053.51563308398</v>
      </c>
      <c r="J1339">
        <v>4170.48436691602</v>
      </c>
    </row>
    <row r="1340" spans="1:10" x14ac:dyDescent="0.35">
      <c r="A1340" s="1">
        <v>45366</v>
      </c>
      <c r="B1340" t="s">
        <v>13</v>
      </c>
      <c r="C1340" t="s">
        <v>20</v>
      </c>
      <c r="D1340" t="s">
        <v>30</v>
      </c>
      <c r="E1340">
        <v>1</v>
      </c>
      <c r="F1340">
        <v>1253</v>
      </c>
      <c r="G1340" t="s">
        <v>38</v>
      </c>
      <c r="H1340">
        <v>1253</v>
      </c>
      <c r="I1340">
        <v>904.76685696554534</v>
      </c>
      <c r="J1340">
        <v>348.23314303445471</v>
      </c>
    </row>
    <row r="1341" spans="1:10" x14ac:dyDescent="0.35">
      <c r="A1341" s="1">
        <v>45617</v>
      </c>
      <c r="B1341" t="s">
        <v>11</v>
      </c>
      <c r="C1341" t="s">
        <v>19</v>
      </c>
      <c r="D1341" t="s">
        <v>32</v>
      </c>
      <c r="E1341">
        <v>16</v>
      </c>
      <c r="F1341">
        <v>1416</v>
      </c>
      <c r="G1341" t="s">
        <v>40</v>
      </c>
      <c r="H1341">
        <v>22656</v>
      </c>
      <c r="I1341">
        <v>16593.192125351488</v>
      </c>
      <c r="J1341">
        <v>6062.807874648508</v>
      </c>
    </row>
    <row r="1342" spans="1:10" x14ac:dyDescent="0.35">
      <c r="A1342" s="1">
        <v>45437</v>
      </c>
      <c r="B1342" t="s">
        <v>11</v>
      </c>
      <c r="C1342" t="s">
        <v>17</v>
      </c>
      <c r="D1342" t="s">
        <v>36</v>
      </c>
      <c r="E1342">
        <v>6</v>
      </c>
      <c r="F1342">
        <v>1255</v>
      </c>
      <c r="G1342" t="s">
        <v>38</v>
      </c>
      <c r="H1342">
        <v>7530</v>
      </c>
      <c r="I1342">
        <v>4655.0083286149938</v>
      </c>
      <c r="J1342">
        <v>2874.9916713850062</v>
      </c>
    </row>
    <row r="1343" spans="1:10" x14ac:dyDescent="0.35">
      <c r="A1343" s="1">
        <v>45419</v>
      </c>
      <c r="B1343" t="s">
        <v>13</v>
      </c>
      <c r="C1343" t="s">
        <v>20</v>
      </c>
      <c r="D1343" t="s">
        <v>37</v>
      </c>
      <c r="E1343">
        <v>3</v>
      </c>
      <c r="F1343">
        <v>455</v>
      </c>
      <c r="G1343" t="s">
        <v>38</v>
      </c>
      <c r="H1343">
        <v>1365</v>
      </c>
      <c r="I1343">
        <v>875.81369712144044</v>
      </c>
      <c r="J1343">
        <v>489.18630287855962</v>
      </c>
    </row>
    <row r="1344" spans="1:10" x14ac:dyDescent="0.35">
      <c r="A1344" s="1">
        <v>45632</v>
      </c>
      <c r="B1344" t="s">
        <v>12</v>
      </c>
      <c r="C1344" t="s">
        <v>22</v>
      </c>
      <c r="D1344" t="s">
        <v>37</v>
      </c>
      <c r="E1344">
        <v>2</v>
      </c>
      <c r="F1344">
        <v>1177</v>
      </c>
      <c r="G1344" t="s">
        <v>40</v>
      </c>
      <c r="H1344">
        <v>2354</v>
      </c>
      <c r="I1344">
        <v>1690.1840712392579</v>
      </c>
      <c r="J1344">
        <v>663.8159287607416</v>
      </c>
    </row>
    <row r="1345" spans="1:10" x14ac:dyDescent="0.35">
      <c r="A1345" s="1">
        <v>45333</v>
      </c>
      <c r="B1345" t="s">
        <v>10</v>
      </c>
      <c r="C1345" t="s">
        <v>24</v>
      </c>
      <c r="D1345" t="s">
        <v>36</v>
      </c>
      <c r="E1345">
        <v>2</v>
      </c>
      <c r="F1345">
        <v>989</v>
      </c>
      <c r="G1345" t="s">
        <v>40</v>
      </c>
      <c r="H1345">
        <v>1978</v>
      </c>
      <c r="I1345">
        <v>1601.9939215892921</v>
      </c>
      <c r="J1345">
        <v>376.00607841070843</v>
      </c>
    </row>
    <row r="1346" spans="1:10" x14ac:dyDescent="0.35">
      <c r="A1346" s="1">
        <v>45647</v>
      </c>
      <c r="B1346" t="s">
        <v>10</v>
      </c>
      <c r="C1346" t="s">
        <v>19</v>
      </c>
      <c r="D1346" t="s">
        <v>37</v>
      </c>
      <c r="E1346">
        <v>13</v>
      </c>
      <c r="F1346">
        <v>892</v>
      </c>
      <c r="G1346" t="s">
        <v>40</v>
      </c>
      <c r="H1346">
        <v>11596</v>
      </c>
      <c r="I1346">
        <v>7124.6707183825783</v>
      </c>
      <c r="J1346">
        <v>4471.3292816174217</v>
      </c>
    </row>
    <row r="1347" spans="1:10" x14ac:dyDescent="0.35">
      <c r="A1347" s="1">
        <v>45332</v>
      </c>
      <c r="B1347" t="s">
        <v>11</v>
      </c>
      <c r="C1347" t="s">
        <v>22</v>
      </c>
      <c r="D1347" t="s">
        <v>36</v>
      </c>
      <c r="E1347">
        <v>9</v>
      </c>
      <c r="F1347">
        <v>1510</v>
      </c>
      <c r="G1347" t="s">
        <v>40</v>
      </c>
      <c r="H1347">
        <v>13590</v>
      </c>
      <c r="I1347">
        <v>9517.9921213723264</v>
      </c>
      <c r="J1347">
        <v>4072.007878627674</v>
      </c>
    </row>
    <row r="1348" spans="1:10" x14ac:dyDescent="0.35">
      <c r="A1348" s="1">
        <v>45325</v>
      </c>
      <c r="B1348" t="s">
        <v>13</v>
      </c>
      <c r="C1348" t="s">
        <v>19</v>
      </c>
      <c r="D1348" t="s">
        <v>35</v>
      </c>
      <c r="E1348">
        <v>16</v>
      </c>
      <c r="F1348">
        <v>364</v>
      </c>
      <c r="G1348" t="s">
        <v>40</v>
      </c>
      <c r="H1348">
        <v>5824</v>
      </c>
      <c r="I1348">
        <v>4708.829714419986</v>
      </c>
      <c r="J1348">
        <v>1115.170285580014</v>
      </c>
    </row>
    <row r="1349" spans="1:10" x14ac:dyDescent="0.35">
      <c r="A1349" s="1">
        <v>45308</v>
      </c>
      <c r="B1349" t="s">
        <v>11</v>
      </c>
      <c r="C1349" t="s">
        <v>17</v>
      </c>
      <c r="D1349" t="s">
        <v>30</v>
      </c>
      <c r="E1349">
        <v>5</v>
      </c>
      <c r="F1349">
        <v>1081</v>
      </c>
      <c r="G1349" t="s">
        <v>38</v>
      </c>
      <c r="H1349">
        <v>5405</v>
      </c>
      <c r="I1349">
        <v>4527.3103567151466</v>
      </c>
      <c r="J1349">
        <v>877.68964328485254</v>
      </c>
    </row>
    <row r="1350" spans="1:10" x14ac:dyDescent="0.35">
      <c r="A1350" s="1">
        <v>45456</v>
      </c>
      <c r="B1350" t="s">
        <v>13</v>
      </c>
      <c r="C1350" t="s">
        <v>23</v>
      </c>
      <c r="D1350" t="s">
        <v>31</v>
      </c>
      <c r="E1350">
        <v>7</v>
      </c>
      <c r="F1350">
        <v>1338</v>
      </c>
      <c r="G1350" t="s">
        <v>39</v>
      </c>
      <c r="H1350">
        <v>9366</v>
      </c>
      <c r="I1350">
        <v>6154.0821343670113</v>
      </c>
      <c r="J1350">
        <v>3211.9178656329891</v>
      </c>
    </row>
    <row r="1351" spans="1:10" x14ac:dyDescent="0.35">
      <c r="A1351" s="1">
        <v>45444</v>
      </c>
      <c r="B1351" t="s">
        <v>10</v>
      </c>
      <c r="C1351" t="s">
        <v>24</v>
      </c>
      <c r="D1351" t="s">
        <v>32</v>
      </c>
      <c r="E1351">
        <v>13</v>
      </c>
      <c r="F1351">
        <v>1583</v>
      </c>
      <c r="G1351" t="s">
        <v>40</v>
      </c>
      <c r="H1351">
        <v>20579</v>
      </c>
      <c r="I1351">
        <v>16863.38210617064</v>
      </c>
      <c r="J1351">
        <v>3715.6178938293629</v>
      </c>
    </row>
    <row r="1352" spans="1:10" x14ac:dyDescent="0.35">
      <c r="A1352" s="1">
        <v>45367</v>
      </c>
      <c r="B1352" t="s">
        <v>12</v>
      </c>
      <c r="C1352" t="s">
        <v>21</v>
      </c>
      <c r="D1352" t="s">
        <v>36</v>
      </c>
      <c r="E1352">
        <v>13</v>
      </c>
      <c r="F1352">
        <v>1581</v>
      </c>
      <c r="G1352" t="s">
        <v>40</v>
      </c>
      <c r="H1352">
        <v>20553</v>
      </c>
      <c r="I1352">
        <v>18222.77296452189</v>
      </c>
      <c r="J1352">
        <v>2330.227035478114</v>
      </c>
    </row>
    <row r="1353" spans="1:10" x14ac:dyDescent="0.35">
      <c r="A1353" s="1">
        <v>45378</v>
      </c>
      <c r="B1353" t="s">
        <v>13</v>
      </c>
      <c r="C1353" t="s">
        <v>24</v>
      </c>
      <c r="D1353" t="s">
        <v>32</v>
      </c>
      <c r="E1353">
        <v>7</v>
      </c>
      <c r="F1353">
        <v>901</v>
      </c>
      <c r="G1353" t="s">
        <v>40</v>
      </c>
      <c r="H1353">
        <v>6307</v>
      </c>
      <c r="I1353">
        <v>5499.9792691974899</v>
      </c>
      <c r="J1353">
        <v>807.02073080251012</v>
      </c>
    </row>
    <row r="1354" spans="1:10" x14ac:dyDescent="0.35">
      <c r="A1354" s="1">
        <v>45408</v>
      </c>
      <c r="B1354" t="s">
        <v>10</v>
      </c>
      <c r="C1354" t="s">
        <v>18</v>
      </c>
      <c r="D1354" t="s">
        <v>30</v>
      </c>
      <c r="E1354">
        <v>10</v>
      </c>
      <c r="F1354">
        <v>142</v>
      </c>
      <c r="G1354" t="s">
        <v>39</v>
      </c>
      <c r="H1354">
        <v>1420</v>
      </c>
      <c r="I1354">
        <v>1188.2742089628191</v>
      </c>
      <c r="J1354">
        <v>231.7257910371811</v>
      </c>
    </row>
    <row r="1355" spans="1:10" x14ac:dyDescent="0.35">
      <c r="A1355" s="1">
        <v>45653</v>
      </c>
      <c r="B1355" t="s">
        <v>11</v>
      </c>
      <c r="C1355" t="s">
        <v>17</v>
      </c>
      <c r="D1355" t="s">
        <v>35</v>
      </c>
      <c r="E1355">
        <v>15</v>
      </c>
      <c r="F1355">
        <v>1709</v>
      </c>
      <c r="G1355" t="s">
        <v>38</v>
      </c>
      <c r="H1355">
        <v>25635</v>
      </c>
      <c r="I1355">
        <v>20859.148379000912</v>
      </c>
      <c r="J1355">
        <v>4775.8516209990876</v>
      </c>
    </row>
    <row r="1356" spans="1:10" x14ac:dyDescent="0.35">
      <c r="A1356" s="1">
        <v>45633</v>
      </c>
      <c r="B1356" t="s">
        <v>13</v>
      </c>
      <c r="C1356" t="s">
        <v>24</v>
      </c>
      <c r="D1356" t="s">
        <v>31</v>
      </c>
      <c r="E1356">
        <v>6</v>
      </c>
      <c r="F1356">
        <v>961</v>
      </c>
      <c r="G1356" t="s">
        <v>40</v>
      </c>
      <c r="H1356">
        <v>5766</v>
      </c>
      <c r="I1356">
        <v>3866.3422452125992</v>
      </c>
      <c r="J1356">
        <v>1899.657754787401</v>
      </c>
    </row>
    <row r="1357" spans="1:10" x14ac:dyDescent="0.35">
      <c r="A1357" s="1">
        <v>45318</v>
      </c>
      <c r="B1357" t="s">
        <v>12</v>
      </c>
      <c r="C1357" t="s">
        <v>18</v>
      </c>
      <c r="D1357" t="s">
        <v>30</v>
      </c>
      <c r="E1357">
        <v>5</v>
      </c>
      <c r="F1357">
        <v>1401</v>
      </c>
      <c r="G1357" t="s">
        <v>39</v>
      </c>
      <c r="H1357">
        <v>7005</v>
      </c>
      <c r="I1357">
        <v>5535.1476316416074</v>
      </c>
      <c r="J1357">
        <v>1469.8523683583931</v>
      </c>
    </row>
    <row r="1358" spans="1:10" x14ac:dyDescent="0.35">
      <c r="A1358" s="1">
        <v>45604</v>
      </c>
      <c r="B1358" t="s">
        <v>11</v>
      </c>
      <c r="C1358" t="s">
        <v>21</v>
      </c>
      <c r="D1358" t="s">
        <v>35</v>
      </c>
      <c r="E1358">
        <v>2</v>
      </c>
      <c r="F1358">
        <v>1961</v>
      </c>
      <c r="G1358" t="s">
        <v>40</v>
      </c>
      <c r="H1358">
        <v>3922</v>
      </c>
      <c r="I1358">
        <v>3110.0761811171942</v>
      </c>
      <c r="J1358">
        <v>811.92381888280579</v>
      </c>
    </row>
    <row r="1359" spans="1:10" x14ac:dyDescent="0.35">
      <c r="A1359" s="1">
        <v>45578</v>
      </c>
      <c r="B1359" t="s">
        <v>11</v>
      </c>
      <c r="C1359" t="s">
        <v>20</v>
      </c>
      <c r="D1359" t="s">
        <v>37</v>
      </c>
      <c r="E1359">
        <v>15</v>
      </c>
      <c r="F1359">
        <v>1877</v>
      </c>
      <c r="G1359" t="s">
        <v>38</v>
      </c>
      <c r="H1359">
        <v>28155</v>
      </c>
      <c r="I1359">
        <v>20329.216381520891</v>
      </c>
      <c r="J1359">
        <v>7825.7836184791122</v>
      </c>
    </row>
    <row r="1360" spans="1:10" x14ac:dyDescent="0.35">
      <c r="A1360" s="1">
        <v>45425</v>
      </c>
      <c r="B1360" t="s">
        <v>10</v>
      </c>
      <c r="C1360" t="s">
        <v>19</v>
      </c>
      <c r="D1360" t="s">
        <v>32</v>
      </c>
      <c r="E1360">
        <v>16</v>
      </c>
      <c r="F1360">
        <v>1253</v>
      </c>
      <c r="G1360" t="s">
        <v>40</v>
      </c>
      <c r="H1360">
        <v>20048</v>
      </c>
      <c r="I1360">
        <v>14993.992192854121</v>
      </c>
      <c r="J1360">
        <v>5054.0078071458829</v>
      </c>
    </row>
    <row r="1361" spans="1:10" x14ac:dyDescent="0.35">
      <c r="A1361" s="1">
        <v>45510</v>
      </c>
      <c r="B1361" t="s">
        <v>13</v>
      </c>
      <c r="C1361" t="s">
        <v>21</v>
      </c>
      <c r="D1361" t="s">
        <v>34</v>
      </c>
      <c r="E1361">
        <v>19</v>
      </c>
      <c r="F1361">
        <v>449</v>
      </c>
      <c r="G1361" t="s">
        <v>40</v>
      </c>
      <c r="H1361">
        <v>8531</v>
      </c>
      <c r="I1361">
        <v>6894.8271097855268</v>
      </c>
      <c r="J1361">
        <v>1636.172890214473</v>
      </c>
    </row>
    <row r="1362" spans="1:10" x14ac:dyDescent="0.35">
      <c r="A1362" s="1">
        <v>45459</v>
      </c>
      <c r="B1362" t="s">
        <v>11</v>
      </c>
      <c r="C1362" t="s">
        <v>22</v>
      </c>
      <c r="D1362" t="s">
        <v>31</v>
      </c>
      <c r="E1362">
        <v>9</v>
      </c>
      <c r="F1362">
        <v>1829</v>
      </c>
      <c r="G1362" t="s">
        <v>40</v>
      </c>
      <c r="H1362">
        <v>16461</v>
      </c>
      <c r="I1362">
        <v>14578.36301379878</v>
      </c>
      <c r="J1362">
        <v>1882.636986201222</v>
      </c>
    </row>
    <row r="1363" spans="1:10" x14ac:dyDescent="0.35">
      <c r="A1363" s="1">
        <v>45389</v>
      </c>
      <c r="B1363" t="s">
        <v>12</v>
      </c>
      <c r="C1363" t="s">
        <v>17</v>
      </c>
      <c r="D1363" t="s">
        <v>37</v>
      </c>
      <c r="E1363">
        <v>19</v>
      </c>
      <c r="F1363">
        <v>1667</v>
      </c>
      <c r="G1363" t="s">
        <v>38</v>
      </c>
      <c r="H1363">
        <v>31673</v>
      </c>
      <c r="I1363">
        <v>21809.770061985841</v>
      </c>
      <c r="J1363">
        <v>9863.2299380141594</v>
      </c>
    </row>
    <row r="1364" spans="1:10" x14ac:dyDescent="0.35">
      <c r="A1364" s="1">
        <v>45559</v>
      </c>
      <c r="B1364" t="s">
        <v>13</v>
      </c>
      <c r="C1364" t="s">
        <v>20</v>
      </c>
      <c r="D1364" t="s">
        <v>30</v>
      </c>
      <c r="E1364">
        <v>7</v>
      </c>
      <c r="F1364">
        <v>1229</v>
      </c>
      <c r="G1364" t="s">
        <v>38</v>
      </c>
      <c r="H1364">
        <v>8603</v>
      </c>
      <c r="I1364">
        <v>5797.6386588869555</v>
      </c>
      <c r="J1364">
        <v>2805.361341113045</v>
      </c>
    </row>
    <row r="1365" spans="1:10" x14ac:dyDescent="0.35">
      <c r="A1365" s="1">
        <v>45528</v>
      </c>
      <c r="B1365" t="s">
        <v>12</v>
      </c>
      <c r="C1365" t="s">
        <v>22</v>
      </c>
      <c r="D1365" t="s">
        <v>31</v>
      </c>
      <c r="E1365">
        <v>4</v>
      </c>
      <c r="F1365">
        <v>1011</v>
      </c>
      <c r="G1365" t="s">
        <v>40</v>
      </c>
      <c r="H1365">
        <v>4044</v>
      </c>
      <c r="I1365">
        <v>3156.512121736991</v>
      </c>
      <c r="J1365">
        <v>887.48787826300895</v>
      </c>
    </row>
    <row r="1366" spans="1:10" x14ac:dyDescent="0.35">
      <c r="A1366" s="1">
        <v>45600</v>
      </c>
      <c r="B1366" t="s">
        <v>11</v>
      </c>
      <c r="C1366" t="s">
        <v>22</v>
      </c>
      <c r="D1366" t="s">
        <v>37</v>
      </c>
      <c r="E1366">
        <v>3</v>
      </c>
      <c r="F1366">
        <v>1839</v>
      </c>
      <c r="G1366" t="s">
        <v>40</v>
      </c>
      <c r="H1366">
        <v>5517</v>
      </c>
      <c r="I1366">
        <v>3526.685609346594</v>
      </c>
      <c r="J1366">
        <v>1990.314390653406</v>
      </c>
    </row>
    <row r="1367" spans="1:10" x14ac:dyDescent="0.35">
      <c r="A1367" s="1">
        <v>45464</v>
      </c>
      <c r="B1367" t="s">
        <v>12</v>
      </c>
      <c r="C1367" t="s">
        <v>17</v>
      </c>
      <c r="D1367" t="s">
        <v>35</v>
      </c>
      <c r="E1367">
        <v>11</v>
      </c>
      <c r="F1367">
        <v>100</v>
      </c>
      <c r="G1367" t="s">
        <v>38</v>
      </c>
      <c r="H1367">
        <v>1100</v>
      </c>
      <c r="I1367">
        <v>852.23583406097862</v>
      </c>
      <c r="J1367">
        <v>247.76416593902141</v>
      </c>
    </row>
    <row r="1368" spans="1:10" x14ac:dyDescent="0.35">
      <c r="A1368" s="1">
        <v>45481</v>
      </c>
      <c r="B1368" t="s">
        <v>10</v>
      </c>
      <c r="C1368" t="s">
        <v>20</v>
      </c>
      <c r="D1368" t="s">
        <v>36</v>
      </c>
      <c r="E1368">
        <v>1</v>
      </c>
      <c r="F1368">
        <v>1880</v>
      </c>
      <c r="G1368" t="s">
        <v>38</v>
      </c>
      <c r="H1368">
        <v>1880</v>
      </c>
      <c r="I1368">
        <v>1178.112237580287</v>
      </c>
      <c r="J1368">
        <v>701.887762419713</v>
      </c>
    </row>
    <row r="1369" spans="1:10" x14ac:dyDescent="0.35">
      <c r="A1369" s="1">
        <v>45413</v>
      </c>
      <c r="B1369" t="s">
        <v>12</v>
      </c>
      <c r="C1369" t="s">
        <v>23</v>
      </c>
      <c r="D1369" t="s">
        <v>32</v>
      </c>
      <c r="E1369">
        <v>6</v>
      </c>
      <c r="F1369">
        <v>683</v>
      </c>
      <c r="G1369" t="s">
        <v>39</v>
      </c>
      <c r="H1369">
        <v>4098</v>
      </c>
      <c r="I1369">
        <v>3061.9238215857831</v>
      </c>
      <c r="J1369">
        <v>1036.0761784142171</v>
      </c>
    </row>
    <row r="1370" spans="1:10" x14ac:dyDescent="0.35">
      <c r="A1370" s="1">
        <v>45337</v>
      </c>
      <c r="B1370" t="s">
        <v>13</v>
      </c>
      <c r="C1370" t="s">
        <v>22</v>
      </c>
      <c r="D1370" t="s">
        <v>33</v>
      </c>
      <c r="E1370">
        <v>11</v>
      </c>
      <c r="F1370">
        <v>531</v>
      </c>
      <c r="G1370" t="s">
        <v>40</v>
      </c>
      <c r="H1370">
        <v>5841</v>
      </c>
      <c r="I1370">
        <v>4591.752108810525</v>
      </c>
      <c r="J1370">
        <v>1249.247891189475</v>
      </c>
    </row>
    <row r="1371" spans="1:10" x14ac:dyDescent="0.35">
      <c r="A1371" s="1">
        <v>45355</v>
      </c>
      <c r="B1371" t="s">
        <v>12</v>
      </c>
      <c r="C1371" t="s">
        <v>22</v>
      </c>
      <c r="D1371" t="s">
        <v>33</v>
      </c>
      <c r="E1371">
        <v>1</v>
      </c>
      <c r="F1371">
        <v>1429</v>
      </c>
      <c r="G1371" t="s">
        <v>40</v>
      </c>
      <c r="H1371">
        <v>1429</v>
      </c>
      <c r="I1371">
        <v>887.45600235626728</v>
      </c>
      <c r="J1371">
        <v>541.54399764373272</v>
      </c>
    </row>
    <row r="1372" spans="1:10" x14ac:dyDescent="0.35">
      <c r="A1372" s="1">
        <v>45421</v>
      </c>
      <c r="B1372" t="s">
        <v>12</v>
      </c>
      <c r="C1372" t="s">
        <v>20</v>
      </c>
      <c r="D1372" t="s">
        <v>35</v>
      </c>
      <c r="E1372">
        <v>7</v>
      </c>
      <c r="F1372">
        <v>1650</v>
      </c>
      <c r="G1372" t="s">
        <v>38</v>
      </c>
      <c r="H1372">
        <v>11550</v>
      </c>
      <c r="I1372">
        <v>7647.0926715019996</v>
      </c>
      <c r="J1372">
        <v>3902.907328498</v>
      </c>
    </row>
    <row r="1373" spans="1:10" x14ac:dyDescent="0.35">
      <c r="A1373" s="1">
        <v>45601</v>
      </c>
      <c r="B1373" t="s">
        <v>10</v>
      </c>
      <c r="C1373" t="s">
        <v>24</v>
      </c>
      <c r="D1373" t="s">
        <v>30</v>
      </c>
      <c r="E1373">
        <v>6</v>
      </c>
      <c r="F1373">
        <v>152</v>
      </c>
      <c r="G1373" t="s">
        <v>40</v>
      </c>
      <c r="H1373">
        <v>912</v>
      </c>
      <c r="I1373">
        <v>638.95840434303796</v>
      </c>
      <c r="J1373">
        <v>273.04159565696199</v>
      </c>
    </row>
    <row r="1374" spans="1:10" x14ac:dyDescent="0.35">
      <c r="A1374" s="1">
        <v>45654</v>
      </c>
      <c r="B1374" t="s">
        <v>12</v>
      </c>
      <c r="C1374" t="s">
        <v>22</v>
      </c>
      <c r="D1374" t="s">
        <v>32</v>
      </c>
      <c r="E1374">
        <v>14</v>
      </c>
      <c r="F1374">
        <v>1039</v>
      </c>
      <c r="G1374" t="s">
        <v>40</v>
      </c>
      <c r="H1374">
        <v>14546</v>
      </c>
      <c r="I1374">
        <v>10336.090986053359</v>
      </c>
      <c r="J1374">
        <v>4209.9090139466389</v>
      </c>
    </row>
    <row r="1375" spans="1:10" x14ac:dyDescent="0.35">
      <c r="A1375" s="1">
        <v>45484</v>
      </c>
      <c r="B1375" t="s">
        <v>12</v>
      </c>
      <c r="C1375" t="s">
        <v>19</v>
      </c>
      <c r="D1375" t="s">
        <v>30</v>
      </c>
      <c r="E1375">
        <v>2</v>
      </c>
      <c r="F1375">
        <v>619</v>
      </c>
      <c r="G1375" t="s">
        <v>40</v>
      </c>
      <c r="H1375">
        <v>1238</v>
      </c>
      <c r="I1375">
        <v>993.90526450459436</v>
      </c>
      <c r="J1375">
        <v>244.09473549540559</v>
      </c>
    </row>
    <row r="1376" spans="1:10" x14ac:dyDescent="0.35">
      <c r="A1376" s="1">
        <v>45598</v>
      </c>
      <c r="B1376" t="s">
        <v>11</v>
      </c>
      <c r="C1376" t="s">
        <v>20</v>
      </c>
      <c r="D1376" t="s">
        <v>32</v>
      </c>
      <c r="E1376">
        <v>4</v>
      </c>
      <c r="F1376">
        <v>1453</v>
      </c>
      <c r="G1376" t="s">
        <v>38</v>
      </c>
      <c r="H1376">
        <v>5812</v>
      </c>
      <c r="I1376">
        <v>4409.6016093995859</v>
      </c>
      <c r="J1376">
        <v>1402.3983906004139</v>
      </c>
    </row>
    <row r="1377" spans="1:10" x14ac:dyDescent="0.35">
      <c r="A1377" s="1">
        <v>45472</v>
      </c>
      <c r="B1377" t="s">
        <v>11</v>
      </c>
      <c r="D1377" t="s">
        <v>35</v>
      </c>
      <c r="E1377">
        <v>11</v>
      </c>
      <c r="F1377">
        <v>1681</v>
      </c>
      <c r="G1377" t="s">
        <v>40</v>
      </c>
      <c r="H1377">
        <v>18491</v>
      </c>
      <c r="I1377">
        <v>13214.270317324739</v>
      </c>
      <c r="J1377">
        <v>5276.729682675259</v>
      </c>
    </row>
    <row r="1378" spans="1:10" x14ac:dyDescent="0.35">
      <c r="A1378" s="1">
        <v>45583</v>
      </c>
      <c r="B1378" t="s">
        <v>13</v>
      </c>
      <c r="C1378" t="s">
        <v>17</v>
      </c>
      <c r="D1378" t="s">
        <v>32</v>
      </c>
      <c r="E1378">
        <v>15</v>
      </c>
      <c r="F1378">
        <v>1448</v>
      </c>
      <c r="G1378" t="s">
        <v>38</v>
      </c>
      <c r="H1378">
        <v>21720</v>
      </c>
      <c r="I1378">
        <v>15968.60647329019</v>
      </c>
      <c r="J1378">
        <v>5751.3935267098077</v>
      </c>
    </row>
    <row r="1379" spans="1:10" x14ac:dyDescent="0.35">
      <c r="A1379" s="1">
        <v>45573</v>
      </c>
      <c r="B1379" t="s">
        <v>11</v>
      </c>
      <c r="C1379" t="s">
        <v>21</v>
      </c>
      <c r="D1379" t="s">
        <v>36</v>
      </c>
      <c r="E1379">
        <v>18</v>
      </c>
      <c r="F1379">
        <v>1237</v>
      </c>
      <c r="G1379" t="s">
        <v>40</v>
      </c>
      <c r="H1379">
        <v>22266</v>
      </c>
      <c r="I1379">
        <v>13446.28156460947</v>
      </c>
      <c r="J1379">
        <v>8819.7184353905322</v>
      </c>
    </row>
    <row r="1380" spans="1:10" x14ac:dyDescent="0.35">
      <c r="A1380" s="1">
        <v>45320</v>
      </c>
      <c r="B1380" t="s">
        <v>11</v>
      </c>
      <c r="C1380" t="s">
        <v>19</v>
      </c>
      <c r="D1380" t="s">
        <v>30</v>
      </c>
      <c r="E1380">
        <v>1</v>
      </c>
      <c r="F1380">
        <v>246</v>
      </c>
      <c r="G1380" t="s">
        <v>40</v>
      </c>
      <c r="H1380">
        <v>246</v>
      </c>
      <c r="I1380">
        <v>204.46476561290311</v>
      </c>
      <c r="J1380">
        <v>41.535234387096921</v>
      </c>
    </row>
    <row r="1381" spans="1:10" x14ac:dyDescent="0.35">
      <c r="A1381" s="1">
        <v>45440</v>
      </c>
      <c r="B1381" t="s">
        <v>11</v>
      </c>
      <c r="C1381" t="s">
        <v>18</v>
      </c>
      <c r="D1381" t="s">
        <v>35</v>
      </c>
      <c r="E1381">
        <v>3</v>
      </c>
      <c r="F1381">
        <v>1289</v>
      </c>
      <c r="G1381" t="s">
        <v>39</v>
      </c>
      <c r="H1381">
        <v>3867</v>
      </c>
      <c r="I1381">
        <v>2367.769539354817</v>
      </c>
      <c r="J1381">
        <v>1499.230460645183</v>
      </c>
    </row>
    <row r="1382" spans="1:10" x14ac:dyDescent="0.35">
      <c r="A1382" s="1">
        <v>45558</v>
      </c>
      <c r="B1382" t="s">
        <v>11</v>
      </c>
      <c r="C1382" t="s">
        <v>18</v>
      </c>
      <c r="D1382" t="s">
        <v>36</v>
      </c>
      <c r="E1382">
        <v>3</v>
      </c>
      <c r="F1382">
        <v>1502</v>
      </c>
      <c r="G1382" t="s">
        <v>39</v>
      </c>
      <c r="H1382">
        <v>4506</v>
      </c>
      <c r="I1382">
        <v>3824.671386932725</v>
      </c>
      <c r="J1382">
        <v>681.32861306727546</v>
      </c>
    </row>
    <row r="1383" spans="1:10" x14ac:dyDescent="0.35">
      <c r="A1383" s="1">
        <v>45587</v>
      </c>
      <c r="B1383" t="s">
        <v>10</v>
      </c>
      <c r="C1383" t="s">
        <v>21</v>
      </c>
      <c r="D1383" t="s">
        <v>32</v>
      </c>
      <c r="E1383">
        <v>0</v>
      </c>
      <c r="F1383">
        <v>1262</v>
      </c>
      <c r="G1383" t="s">
        <v>40</v>
      </c>
      <c r="H1383">
        <v>0</v>
      </c>
      <c r="I1383">
        <v>0</v>
      </c>
      <c r="J1383">
        <v>0</v>
      </c>
    </row>
    <row r="1384" spans="1:10" x14ac:dyDescent="0.35">
      <c r="A1384" s="1">
        <v>45302</v>
      </c>
      <c r="B1384" t="s">
        <v>11</v>
      </c>
      <c r="D1384" t="s">
        <v>35</v>
      </c>
      <c r="E1384">
        <v>1</v>
      </c>
      <c r="F1384">
        <v>728</v>
      </c>
      <c r="G1384" t="s">
        <v>39</v>
      </c>
      <c r="H1384">
        <v>728</v>
      </c>
      <c r="I1384">
        <v>552.07571136343449</v>
      </c>
      <c r="J1384">
        <v>175.92428863656551</v>
      </c>
    </row>
    <row r="1385" spans="1:10" x14ac:dyDescent="0.35">
      <c r="A1385" s="1">
        <v>45455</v>
      </c>
      <c r="B1385" t="s">
        <v>10</v>
      </c>
      <c r="C1385" t="s">
        <v>21</v>
      </c>
      <c r="D1385" t="s">
        <v>32</v>
      </c>
      <c r="E1385">
        <v>11</v>
      </c>
      <c r="F1385">
        <v>398</v>
      </c>
      <c r="G1385" t="s">
        <v>40</v>
      </c>
      <c r="H1385">
        <v>4378</v>
      </c>
      <c r="I1385">
        <v>3552.1935697173199</v>
      </c>
      <c r="J1385">
        <v>825.80643028267968</v>
      </c>
    </row>
    <row r="1386" spans="1:10" x14ac:dyDescent="0.35">
      <c r="A1386" s="1">
        <v>45404</v>
      </c>
      <c r="B1386" t="s">
        <v>10</v>
      </c>
      <c r="C1386" t="s">
        <v>22</v>
      </c>
      <c r="D1386" t="s">
        <v>30</v>
      </c>
      <c r="E1386">
        <v>6</v>
      </c>
      <c r="F1386">
        <v>1399</v>
      </c>
      <c r="G1386" t="s">
        <v>40</v>
      </c>
      <c r="H1386">
        <v>8394</v>
      </c>
      <c r="I1386">
        <v>7200.9428151279562</v>
      </c>
      <c r="J1386">
        <v>1193.057184872044</v>
      </c>
    </row>
    <row r="1387" spans="1:10" x14ac:dyDescent="0.35">
      <c r="A1387" s="1">
        <v>45478</v>
      </c>
      <c r="B1387" t="s">
        <v>11</v>
      </c>
      <c r="C1387" t="s">
        <v>19</v>
      </c>
      <c r="D1387" t="s">
        <v>35</v>
      </c>
      <c r="E1387">
        <v>3</v>
      </c>
      <c r="F1387">
        <v>888</v>
      </c>
      <c r="G1387" t="s">
        <v>40</v>
      </c>
      <c r="H1387">
        <v>2664</v>
      </c>
      <c r="I1387">
        <v>2351.7628002665479</v>
      </c>
      <c r="J1387">
        <v>312.23719973345209</v>
      </c>
    </row>
    <row r="1388" spans="1:10" x14ac:dyDescent="0.35">
      <c r="A1388" s="1">
        <v>45586</v>
      </c>
      <c r="B1388" t="s">
        <v>12</v>
      </c>
      <c r="C1388" t="s">
        <v>19</v>
      </c>
      <c r="D1388" t="s">
        <v>32</v>
      </c>
      <c r="E1388">
        <v>19</v>
      </c>
      <c r="F1388">
        <v>949</v>
      </c>
      <c r="G1388" t="s">
        <v>40</v>
      </c>
      <c r="H1388">
        <v>18031</v>
      </c>
      <c r="I1388">
        <v>13757.850731068889</v>
      </c>
      <c r="J1388">
        <v>4273.1492689311126</v>
      </c>
    </row>
    <row r="1389" spans="1:10" x14ac:dyDescent="0.35">
      <c r="A1389" s="1">
        <v>45523</v>
      </c>
      <c r="B1389" t="s">
        <v>10</v>
      </c>
      <c r="C1389" t="s">
        <v>24</v>
      </c>
      <c r="D1389" t="s">
        <v>30</v>
      </c>
      <c r="E1389">
        <v>2</v>
      </c>
      <c r="F1389">
        <v>1948</v>
      </c>
      <c r="G1389" t="s">
        <v>40</v>
      </c>
      <c r="H1389">
        <v>3896</v>
      </c>
      <c r="I1389">
        <v>2513.689341548647</v>
      </c>
      <c r="J1389">
        <v>1382.310658451353</v>
      </c>
    </row>
    <row r="1390" spans="1:10" x14ac:dyDescent="0.35">
      <c r="A1390" s="1">
        <v>45518</v>
      </c>
      <c r="B1390" t="s">
        <v>12</v>
      </c>
      <c r="C1390" t="s">
        <v>21</v>
      </c>
      <c r="D1390" t="s">
        <v>36</v>
      </c>
      <c r="E1390">
        <v>18</v>
      </c>
      <c r="F1390">
        <v>277</v>
      </c>
      <c r="G1390" t="s">
        <v>40</v>
      </c>
      <c r="H1390">
        <v>4986</v>
      </c>
      <c r="I1390">
        <v>4305.8561393695854</v>
      </c>
      <c r="J1390">
        <v>680.14386063041547</v>
      </c>
    </row>
    <row r="1391" spans="1:10" x14ac:dyDescent="0.35">
      <c r="A1391" s="1">
        <v>45601</v>
      </c>
      <c r="B1391" t="s">
        <v>12</v>
      </c>
      <c r="C1391" t="s">
        <v>19</v>
      </c>
      <c r="D1391" t="s">
        <v>34</v>
      </c>
      <c r="E1391">
        <v>12</v>
      </c>
      <c r="F1391">
        <v>941</v>
      </c>
      <c r="G1391" t="s">
        <v>40</v>
      </c>
      <c r="H1391">
        <v>11292</v>
      </c>
      <c r="I1391">
        <v>6912.9805294306007</v>
      </c>
      <c r="J1391">
        <v>4379.0194705693993</v>
      </c>
    </row>
    <row r="1392" spans="1:10" x14ac:dyDescent="0.35">
      <c r="A1392" s="1">
        <v>45389</v>
      </c>
      <c r="B1392" t="s">
        <v>11</v>
      </c>
      <c r="C1392" t="s">
        <v>24</v>
      </c>
      <c r="D1392" t="s">
        <v>36</v>
      </c>
      <c r="E1392">
        <v>10</v>
      </c>
      <c r="F1392">
        <v>1477</v>
      </c>
      <c r="G1392" t="s">
        <v>40</v>
      </c>
      <c r="H1392">
        <v>14770</v>
      </c>
      <c r="I1392">
        <v>12439.31100345947</v>
      </c>
      <c r="J1392">
        <v>2330.6889965405298</v>
      </c>
    </row>
    <row r="1393" spans="1:10" x14ac:dyDescent="0.35">
      <c r="A1393" s="1">
        <v>45346</v>
      </c>
      <c r="B1393" t="s">
        <v>13</v>
      </c>
      <c r="C1393" t="s">
        <v>20</v>
      </c>
      <c r="D1393" t="s">
        <v>32</v>
      </c>
      <c r="E1393">
        <v>5</v>
      </c>
      <c r="F1393">
        <v>1277</v>
      </c>
      <c r="G1393" t="s">
        <v>38</v>
      </c>
      <c r="H1393">
        <v>6385</v>
      </c>
      <c r="I1393">
        <v>5134.3476254183288</v>
      </c>
      <c r="J1393">
        <v>1250.652374581671</v>
      </c>
    </row>
    <row r="1394" spans="1:10" x14ac:dyDescent="0.35">
      <c r="A1394" s="1">
        <v>45402</v>
      </c>
      <c r="B1394" t="s">
        <v>11</v>
      </c>
      <c r="C1394" t="s">
        <v>24</v>
      </c>
      <c r="D1394" t="s">
        <v>35</v>
      </c>
      <c r="E1394">
        <v>9</v>
      </c>
      <c r="F1394">
        <v>1324</v>
      </c>
      <c r="G1394" t="s">
        <v>40</v>
      </c>
      <c r="H1394">
        <v>11916</v>
      </c>
      <c r="I1394">
        <v>10383.82025101555</v>
      </c>
      <c r="J1394">
        <v>1532.1797489844521</v>
      </c>
    </row>
    <row r="1395" spans="1:10" x14ac:dyDescent="0.35">
      <c r="A1395" s="1">
        <v>45443</v>
      </c>
      <c r="B1395" t="s">
        <v>13</v>
      </c>
      <c r="C1395" t="s">
        <v>17</v>
      </c>
      <c r="D1395" t="s">
        <v>33</v>
      </c>
      <c r="E1395">
        <v>2</v>
      </c>
      <c r="F1395">
        <v>977</v>
      </c>
      <c r="G1395" t="s">
        <v>38</v>
      </c>
      <c r="H1395">
        <v>1954</v>
      </c>
      <c r="I1395">
        <v>1698.4928986750531</v>
      </c>
      <c r="J1395">
        <v>255.50710132494669</v>
      </c>
    </row>
    <row r="1396" spans="1:10" x14ac:dyDescent="0.35">
      <c r="A1396" s="1">
        <v>45537</v>
      </c>
      <c r="B1396" t="s">
        <v>13</v>
      </c>
      <c r="C1396" t="s">
        <v>23</v>
      </c>
      <c r="D1396" t="s">
        <v>36</v>
      </c>
      <c r="E1396">
        <v>2</v>
      </c>
      <c r="F1396">
        <v>1238</v>
      </c>
      <c r="G1396" t="s">
        <v>39</v>
      </c>
      <c r="H1396">
        <v>2476</v>
      </c>
      <c r="I1396">
        <v>1525.0828546626631</v>
      </c>
      <c r="J1396">
        <v>950.91714533733716</v>
      </c>
    </row>
    <row r="1397" spans="1:10" x14ac:dyDescent="0.35">
      <c r="A1397" s="1">
        <v>45360</v>
      </c>
      <c r="B1397" t="s">
        <v>11</v>
      </c>
      <c r="C1397" t="s">
        <v>22</v>
      </c>
      <c r="D1397" t="s">
        <v>36</v>
      </c>
      <c r="E1397">
        <v>6</v>
      </c>
      <c r="F1397">
        <v>1794</v>
      </c>
      <c r="G1397" t="s">
        <v>40</v>
      </c>
      <c r="H1397">
        <v>10764</v>
      </c>
      <c r="I1397">
        <v>8426.42433805168</v>
      </c>
      <c r="J1397">
        <v>2337.57566194832</v>
      </c>
    </row>
    <row r="1398" spans="1:10" x14ac:dyDescent="0.35">
      <c r="A1398" s="1">
        <v>45603</v>
      </c>
      <c r="B1398" t="s">
        <v>11</v>
      </c>
      <c r="C1398" t="s">
        <v>20</v>
      </c>
      <c r="D1398" t="s">
        <v>30</v>
      </c>
      <c r="E1398">
        <v>10</v>
      </c>
      <c r="F1398">
        <v>1677</v>
      </c>
      <c r="G1398" t="s">
        <v>38</v>
      </c>
      <c r="H1398">
        <v>16770</v>
      </c>
      <c r="I1398">
        <v>10689.22209095122</v>
      </c>
      <c r="J1398">
        <v>6080.7779090487766</v>
      </c>
    </row>
    <row r="1399" spans="1:10" x14ac:dyDescent="0.35">
      <c r="A1399" s="1">
        <v>45580</v>
      </c>
      <c r="B1399" t="s">
        <v>13</v>
      </c>
      <c r="C1399" t="s">
        <v>23</v>
      </c>
      <c r="D1399" t="s">
        <v>37</v>
      </c>
      <c r="E1399">
        <v>18</v>
      </c>
      <c r="F1399">
        <v>858</v>
      </c>
      <c r="G1399" t="s">
        <v>39</v>
      </c>
      <c r="H1399">
        <v>15444</v>
      </c>
      <c r="I1399">
        <v>9629.9607719325541</v>
      </c>
      <c r="J1399">
        <v>5814.0392280674459</v>
      </c>
    </row>
    <row r="1400" spans="1:10" x14ac:dyDescent="0.35">
      <c r="A1400" s="1">
        <v>45541</v>
      </c>
      <c r="B1400" t="s">
        <v>11</v>
      </c>
      <c r="C1400" t="s">
        <v>23</v>
      </c>
      <c r="D1400" t="s">
        <v>33</v>
      </c>
      <c r="F1400">
        <v>1191</v>
      </c>
      <c r="G1400" t="s">
        <v>39</v>
      </c>
    </row>
    <row r="1401" spans="1:10" x14ac:dyDescent="0.35">
      <c r="A1401" s="1">
        <v>45327</v>
      </c>
      <c r="B1401" t="s">
        <v>13</v>
      </c>
      <c r="C1401" t="s">
        <v>20</v>
      </c>
      <c r="D1401" t="s">
        <v>32</v>
      </c>
      <c r="E1401">
        <v>4</v>
      </c>
      <c r="G1401" t="s">
        <v>38</v>
      </c>
    </row>
    <row r="1402" spans="1:10" x14ac:dyDescent="0.35">
      <c r="A1402" s="1">
        <v>45530</v>
      </c>
      <c r="B1402" t="s">
        <v>12</v>
      </c>
      <c r="C1402" t="s">
        <v>17</v>
      </c>
      <c r="D1402" t="s">
        <v>34</v>
      </c>
      <c r="E1402">
        <v>17</v>
      </c>
      <c r="F1402">
        <v>544</v>
      </c>
      <c r="G1402" t="s">
        <v>38</v>
      </c>
      <c r="H1402">
        <v>9248</v>
      </c>
      <c r="I1402">
        <v>7568.2923717075782</v>
      </c>
      <c r="J1402">
        <v>1679.707628292422</v>
      </c>
    </row>
    <row r="1403" spans="1:10" x14ac:dyDescent="0.35">
      <c r="A1403" s="1">
        <v>45439</v>
      </c>
      <c r="B1403" t="s">
        <v>11</v>
      </c>
      <c r="C1403" t="s">
        <v>24</v>
      </c>
      <c r="D1403" t="s">
        <v>35</v>
      </c>
      <c r="E1403">
        <v>15</v>
      </c>
      <c r="F1403">
        <v>1449</v>
      </c>
      <c r="G1403" t="s">
        <v>40</v>
      </c>
      <c r="H1403">
        <v>21735</v>
      </c>
      <c r="I1403">
        <v>19358.977902864801</v>
      </c>
      <c r="J1403">
        <v>2376.022097135196</v>
      </c>
    </row>
    <row r="1404" spans="1:10" x14ac:dyDescent="0.35">
      <c r="A1404" s="1">
        <v>45518</v>
      </c>
      <c r="B1404" t="s">
        <v>12</v>
      </c>
      <c r="C1404" t="s">
        <v>22</v>
      </c>
      <c r="D1404" t="s">
        <v>37</v>
      </c>
      <c r="E1404">
        <v>6</v>
      </c>
      <c r="F1404">
        <v>1969</v>
      </c>
      <c r="G1404" t="s">
        <v>40</v>
      </c>
      <c r="H1404">
        <v>11814</v>
      </c>
      <c r="I1404">
        <v>9107.1159189748378</v>
      </c>
      <c r="J1404">
        <v>2706.8840810251618</v>
      </c>
    </row>
    <row r="1405" spans="1:10" x14ac:dyDescent="0.35">
      <c r="A1405" s="1">
        <v>45535</v>
      </c>
      <c r="B1405" t="s">
        <v>10</v>
      </c>
      <c r="C1405" t="s">
        <v>24</v>
      </c>
      <c r="D1405" t="s">
        <v>32</v>
      </c>
      <c r="E1405">
        <v>16</v>
      </c>
      <c r="F1405">
        <v>807</v>
      </c>
      <c r="G1405" t="s">
        <v>40</v>
      </c>
      <c r="H1405">
        <v>12912</v>
      </c>
      <c r="I1405">
        <v>8658.1501331341497</v>
      </c>
      <c r="J1405">
        <v>4253.8498668658503</v>
      </c>
    </row>
    <row r="1406" spans="1:10" x14ac:dyDescent="0.35">
      <c r="A1406" s="1">
        <v>45628</v>
      </c>
      <c r="B1406" t="s">
        <v>12</v>
      </c>
      <c r="C1406" t="s">
        <v>19</v>
      </c>
      <c r="D1406" t="s">
        <v>31</v>
      </c>
      <c r="E1406">
        <v>17</v>
      </c>
      <c r="F1406">
        <v>701</v>
      </c>
      <c r="G1406" t="s">
        <v>40</v>
      </c>
      <c r="H1406">
        <v>11917</v>
      </c>
      <c r="I1406">
        <v>10164.74717034244</v>
      </c>
      <c r="J1406">
        <v>1752.2528296575581</v>
      </c>
    </row>
    <row r="1407" spans="1:10" x14ac:dyDescent="0.35">
      <c r="A1407" s="1">
        <v>45656</v>
      </c>
      <c r="B1407" t="s">
        <v>12</v>
      </c>
      <c r="C1407" t="s">
        <v>24</v>
      </c>
      <c r="D1407" t="s">
        <v>34</v>
      </c>
      <c r="E1407">
        <v>3</v>
      </c>
      <c r="F1407">
        <v>1746</v>
      </c>
      <c r="G1407" t="s">
        <v>40</v>
      </c>
      <c r="H1407">
        <v>5238</v>
      </c>
      <c r="I1407">
        <v>4483.3666433650433</v>
      </c>
      <c r="J1407">
        <v>754.63335663495673</v>
      </c>
    </row>
    <row r="1408" spans="1:10" x14ac:dyDescent="0.35">
      <c r="A1408" s="1">
        <v>45492</v>
      </c>
      <c r="B1408" t="s">
        <v>13</v>
      </c>
      <c r="C1408" t="s">
        <v>18</v>
      </c>
      <c r="D1408" t="s">
        <v>36</v>
      </c>
      <c r="E1408">
        <v>10</v>
      </c>
      <c r="F1408">
        <v>1482</v>
      </c>
      <c r="G1408" t="s">
        <v>39</v>
      </c>
      <c r="H1408">
        <v>14820</v>
      </c>
      <c r="I1408">
        <v>12149.9664331321</v>
      </c>
      <c r="J1408">
        <v>2670.033566867904</v>
      </c>
    </row>
    <row r="1409" spans="1:10" x14ac:dyDescent="0.35">
      <c r="A1409" s="1">
        <v>45445</v>
      </c>
      <c r="B1409" t="s">
        <v>12</v>
      </c>
      <c r="C1409" t="s">
        <v>20</v>
      </c>
      <c r="D1409" t="s">
        <v>31</v>
      </c>
      <c r="E1409">
        <v>5</v>
      </c>
      <c r="F1409">
        <v>244</v>
      </c>
      <c r="G1409" t="s">
        <v>38</v>
      </c>
      <c r="H1409">
        <v>1220</v>
      </c>
      <c r="I1409">
        <v>957.13837964168647</v>
      </c>
      <c r="J1409">
        <v>262.86162035831347</v>
      </c>
    </row>
    <row r="1410" spans="1:10" x14ac:dyDescent="0.35">
      <c r="A1410" s="1">
        <v>45364</v>
      </c>
      <c r="B1410" t="s">
        <v>11</v>
      </c>
      <c r="C1410" t="s">
        <v>22</v>
      </c>
      <c r="D1410" t="s">
        <v>36</v>
      </c>
      <c r="E1410">
        <v>14</v>
      </c>
      <c r="F1410">
        <v>374</v>
      </c>
      <c r="G1410" t="s">
        <v>40</v>
      </c>
      <c r="H1410">
        <v>5236</v>
      </c>
      <c r="I1410">
        <v>4504.7283879240076</v>
      </c>
      <c r="J1410">
        <v>731.27161207599238</v>
      </c>
    </row>
    <row r="1411" spans="1:10" x14ac:dyDescent="0.35">
      <c r="A1411" s="1">
        <v>45492</v>
      </c>
      <c r="B1411" t="s">
        <v>13</v>
      </c>
      <c r="C1411" t="s">
        <v>24</v>
      </c>
      <c r="D1411" t="s">
        <v>36</v>
      </c>
      <c r="E1411">
        <v>13</v>
      </c>
      <c r="F1411">
        <v>608</v>
      </c>
      <c r="G1411" t="s">
        <v>40</v>
      </c>
      <c r="H1411">
        <v>7904</v>
      </c>
      <c r="I1411">
        <v>5129.5972363526116</v>
      </c>
      <c r="J1411">
        <v>2774.4027636473879</v>
      </c>
    </row>
    <row r="1412" spans="1:10" x14ac:dyDescent="0.35">
      <c r="A1412" s="1">
        <v>45587</v>
      </c>
      <c r="B1412" t="s">
        <v>10</v>
      </c>
      <c r="C1412" t="s">
        <v>22</v>
      </c>
      <c r="D1412" t="s">
        <v>31</v>
      </c>
      <c r="E1412">
        <v>6</v>
      </c>
      <c r="F1412">
        <v>1302</v>
      </c>
      <c r="G1412" t="s">
        <v>40</v>
      </c>
      <c r="H1412">
        <v>7812</v>
      </c>
      <c r="I1412">
        <v>6870.4980560999038</v>
      </c>
      <c r="J1412">
        <v>941.50194390009619</v>
      </c>
    </row>
    <row r="1413" spans="1:10" x14ac:dyDescent="0.35">
      <c r="A1413" s="1">
        <v>45308</v>
      </c>
      <c r="B1413" t="s">
        <v>11</v>
      </c>
      <c r="C1413" t="s">
        <v>22</v>
      </c>
      <c r="D1413" t="s">
        <v>34</v>
      </c>
      <c r="E1413">
        <v>12</v>
      </c>
      <c r="F1413">
        <v>852</v>
      </c>
      <c r="G1413" t="s">
        <v>40</v>
      </c>
      <c r="H1413">
        <v>10224</v>
      </c>
      <c r="I1413">
        <v>9039.6614992586547</v>
      </c>
      <c r="J1413">
        <v>1184.3385007413449</v>
      </c>
    </row>
    <row r="1414" spans="1:10" x14ac:dyDescent="0.35">
      <c r="A1414" s="1">
        <v>45420</v>
      </c>
      <c r="B1414" t="s">
        <v>10</v>
      </c>
      <c r="C1414" t="s">
        <v>19</v>
      </c>
      <c r="D1414" t="s">
        <v>30</v>
      </c>
      <c r="E1414">
        <v>8</v>
      </c>
      <c r="F1414">
        <v>1961</v>
      </c>
      <c r="G1414" t="s">
        <v>40</v>
      </c>
      <c r="H1414">
        <v>15688</v>
      </c>
      <c r="I1414">
        <v>13516.74490898011</v>
      </c>
      <c r="J1414">
        <v>2171.255091019892</v>
      </c>
    </row>
    <row r="1415" spans="1:10" x14ac:dyDescent="0.35">
      <c r="A1415" s="1">
        <v>45508</v>
      </c>
      <c r="B1415" t="s">
        <v>12</v>
      </c>
      <c r="C1415" t="s">
        <v>19</v>
      </c>
      <c r="D1415" t="s">
        <v>31</v>
      </c>
      <c r="E1415">
        <v>5</v>
      </c>
      <c r="F1415">
        <v>1954</v>
      </c>
      <c r="G1415" t="s">
        <v>40</v>
      </c>
      <c r="H1415">
        <v>9770</v>
      </c>
      <c r="I1415">
        <v>6596.6904237393101</v>
      </c>
      <c r="J1415">
        <v>3173.3095762606899</v>
      </c>
    </row>
    <row r="1416" spans="1:10" x14ac:dyDescent="0.35">
      <c r="A1416" s="1">
        <v>45352</v>
      </c>
      <c r="B1416" t="s">
        <v>11</v>
      </c>
      <c r="C1416" t="s">
        <v>20</v>
      </c>
      <c r="D1416" t="s">
        <v>32</v>
      </c>
      <c r="E1416">
        <v>15</v>
      </c>
      <c r="F1416">
        <v>576</v>
      </c>
      <c r="G1416" t="s">
        <v>38</v>
      </c>
      <c r="H1416">
        <v>8640</v>
      </c>
      <c r="I1416">
        <v>7408.3983773171503</v>
      </c>
      <c r="J1416">
        <v>1231.6016226828499</v>
      </c>
    </row>
    <row r="1417" spans="1:10" x14ac:dyDescent="0.35">
      <c r="A1417" s="1">
        <v>45395</v>
      </c>
      <c r="B1417" t="s">
        <v>11</v>
      </c>
      <c r="C1417" t="s">
        <v>17</v>
      </c>
      <c r="D1417" t="s">
        <v>37</v>
      </c>
      <c r="E1417">
        <v>16</v>
      </c>
      <c r="F1417">
        <v>1966</v>
      </c>
      <c r="G1417" t="s">
        <v>38</v>
      </c>
      <c r="H1417">
        <v>31456</v>
      </c>
      <c r="I1417">
        <v>23569.712277469931</v>
      </c>
      <c r="J1417">
        <v>7886.2877225300726</v>
      </c>
    </row>
    <row r="1418" spans="1:10" x14ac:dyDescent="0.35">
      <c r="A1418" s="1">
        <v>45333</v>
      </c>
      <c r="B1418" t="s">
        <v>10</v>
      </c>
      <c r="C1418" t="s">
        <v>18</v>
      </c>
      <c r="D1418" t="s">
        <v>37</v>
      </c>
      <c r="E1418">
        <v>1</v>
      </c>
      <c r="F1418">
        <v>1537</v>
      </c>
      <c r="G1418" t="s">
        <v>39</v>
      </c>
      <c r="H1418">
        <v>1537</v>
      </c>
      <c r="I1418">
        <v>1196.522332465521</v>
      </c>
      <c r="J1418">
        <v>340.47766753447951</v>
      </c>
    </row>
    <row r="1419" spans="1:10" x14ac:dyDescent="0.35">
      <c r="A1419" s="1">
        <v>45316</v>
      </c>
      <c r="B1419" t="s">
        <v>11</v>
      </c>
      <c r="D1419" t="s">
        <v>31</v>
      </c>
      <c r="E1419">
        <v>16</v>
      </c>
      <c r="F1419">
        <v>1276</v>
      </c>
      <c r="G1419" t="s">
        <v>39</v>
      </c>
      <c r="H1419">
        <v>20416</v>
      </c>
      <c r="I1419">
        <v>17398.110692713391</v>
      </c>
      <c r="J1419">
        <v>3017.8893072866122</v>
      </c>
    </row>
    <row r="1420" spans="1:10" x14ac:dyDescent="0.35">
      <c r="A1420" s="1">
        <v>45330</v>
      </c>
      <c r="B1420" t="s">
        <v>11</v>
      </c>
      <c r="C1420" t="s">
        <v>22</v>
      </c>
      <c r="D1420" t="s">
        <v>32</v>
      </c>
      <c r="E1420">
        <v>5</v>
      </c>
      <c r="F1420">
        <v>1227</v>
      </c>
      <c r="G1420" t="s">
        <v>40</v>
      </c>
      <c r="H1420">
        <v>6135</v>
      </c>
      <c r="I1420">
        <v>3735.4472253855101</v>
      </c>
      <c r="J1420">
        <v>2399.5527746144899</v>
      </c>
    </row>
    <row r="1421" spans="1:10" x14ac:dyDescent="0.35">
      <c r="A1421" s="1">
        <v>45582</v>
      </c>
      <c r="B1421" t="s">
        <v>11</v>
      </c>
      <c r="C1421" t="s">
        <v>17</v>
      </c>
      <c r="E1421">
        <v>3</v>
      </c>
      <c r="F1421">
        <v>1198</v>
      </c>
      <c r="G1421" t="s">
        <v>38</v>
      </c>
      <c r="H1421">
        <v>3594</v>
      </c>
      <c r="I1421">
        <v>2547.724702883781</v>
      </c>
      <c r="J1421">
        <v>1046.275297116219</v>
      </c>
    </row>
    <row r="1422" spans="1:10" x14ac:dyDescent="0.35">
      <c r="A1422" s="1">
        <v>45422</v>
      </c>
      <c r="B1422" t="s">
        <v>12</v>
      </c>
      <c r="C1422" t="s">
        <v>23</v>
      </c>
      <c r="D1422" t="s">
        <v>37</v>
      </c>
      <c r="E1422">
        <v>15</v>
      </c>
      <c r="F1422">
        <v>1251</v>
      </c>
      <c r="G1422" t="s">
        <v>39</v>
      </c>
      <c r="H1422">
        <v>18765</v>
      </c>
      <c r="I1422">
        <v>15850.945867197721</v>
      </c>
      <c r="J1422">
        <v>2914.0541328022791</v>
      </c>
    </row>
    <row r="1423" spans="1:10" x14ac:dyDescent="0.35">
      <c r="A1423" s="1">
        <v>45520</v>
      </c>
      <c r="B1423" t="s">
        <v>10</v>
      </c>
      <c r="C1423" t="s">
        <v>23</v>
      </c>
      <c r="D1423" t="s">
        <v>32</v>
      </c>
      <c r="E1423">
        <v>13</v>
      </c>
      <c r="F1423">
        <v>1834</v>
      </c>
      <c r="G1423" t="s">
        <v>39</v>
      </c>
      <c r="H1423">
        <v>23842</v>
      </c>
      <c r="I1423">
        <v>20127.09298662021</v>
      </c>
      <c r="J1423">
        <v>3714.9070133797941</v>
      </c>
    </row>
    <row r="1424" spans="1:10" x14ac:dyDescent="0.35">
      <c r="A1424" s="1">
        <v>45399</v>
      </c>
      <c r="B1424" t="s">
        <v>11</v>
      </c>
      <c r="D1424" t="s">
        <v>30</v>
      </c>
      <c r="F1424">
        <v>765</v>
      </c>
      <c r="G1424" t="s">
        <v>39</v>
      </c>
    </row>
    <row r="1425" spans="1:10" x14ac:dyDescent="0.35">
      <c r="A1425" s="1">
        <v>45463</v>
      </c>
      <c r="B1425" t="s">
        <v>50</v>
      </c>
      <c r="C1425" t="s">
        <v>20</v>
      </c>
      <c r="D1425" t="s">
        <v>32</v>
      </c>
      <c r="E1425">
        <v>11</v>
      </c>
      <c r="F1425">
        <v>667</v>
      </c>
      <c r="G1425" t="s">
        <v>38</v>
      </c>
      <c r="H1425">
        <v>7337</v>
      </c>
      <c r="I1425">
        <v>4774.6611177970344</v>
      </c>
      <c r="J1425">
        <v>2562.338882202966</v>
      </c>
    </row>
    <row r="1426" spans="1:10" x14ac:dyDescent="0.35">
      <c r="A1426" s="1">
        <v>45393</v>
      </c>
      <c r="B1426" t="s">
        <v>13</v>
      </c>
      <c r="C1426" t="s">
        <v>23</v>
      </c>
      <c r="D1426" t="s">
        <v>36</v>
      </c>
      <c r="E1426">
        <v>2</v>
      </c>
      <c r="F1426">
        <v>1913</v>
      </c>
      <c r="G1426" t="s">
        <v>39</v>
      </c>
      <c r="H1426">
        <v>3826</v>
      </c>
      <c r="I1426">
        <v>3105.816660402053</v>
      </c>
      <c r="J1426">
        <v>720.18333959794745</v>
      </c>
    </row>
    <row r="1427" spans="1:10" x14ac:dyDescent="0.35">
      <c r="A1427" s="1">
        <v>45645</v>
      </c>
      <c r="B1427" t="s">
        <v>13</v>
      </c>
      <c r="C1427" t="s">
        <v>18</v>
      </c>
      <c r="D1427" t="s">
        <v>37</v>
      </c>
      <c r="E1427">
        <v>6</v>
      </c>
      <c r="F1427">
        <v>1468</v>
      </c>
      <c r="G1427" t="s">
        <v>39</v>
      </c>
      <c r="H1427">
        <v>8808</v>
      </c>
      <c r="I1427">
        <v>5671.9204269515176</v>
      </c>
      <c r="J1427">
        <v>3136.079573048482</v>
      </c>
    </row>
    <row r="1428" spans="1:10" x14ac:dyDescent="0.35">
      <c r="A1428" s="1">
        <v>45303</v>
      </c>
      <c r="B1428" t="s">
        <v>13</v>
      </c>
      <c r="C1428" t="s">
        <v>23</v>
      </c>
      <c r="D1428" t="s">
        <v>30</v>
      </c>
      <c r="E1428">
        <v>6</v>
      </c>
      <c r="F1428">
        <v>630</v>
      </c>
      <c r="G1428" t="s">
        <v>39</v>
      </c>
      <c r="H1428">
        <v>3780</v>
      </c>
      <c r="I1428">
        <v>3158.301142150463</v>
      </c>
      <c r="J1428">
        <v>621.69885784953703</v>
      </c>
    </row>
    <row r="1429" spans="1:10" x14ac:dyDescent="0.35">
      <c r="A1429" s="1">
        <v>45566</v>
      </c>
      <c r="B1429" t="s">
        <v>12</v>
      </c>
      <c r="C1429" t="s">
        <v>22</v>
      </c>
      <c r="D1429" t="s">
        <v>37</v>
      </c>
      <c r="E1429">
        <v>14</v>
      </c>
      <c r="F1429">
        <v>258</v>
      </c>
      <c r="G1429" t="s">
        <v>40</v>
      </c>
      <c r="H1429">
        <v>3612</v>
      </c>
      <c r="I1429">
        <v>2432.8185384269041</v>
      </c>
      <c r="J1429">
        <v>1179.1814615730959</v>
      </c>
    </row>
    <row r="1430" spans="1:10" x14ac:dyDescent="0.35">
      <c r="A1430" s="1">
        <v>45392</v>
      </c>
      <c r="B1430" t="s">
        <v>11</v>
      </c>
      <c r="C1430" t="s">
        <v>22</v>
      </c>
      <c r="D1430" t="s">
        <v>36</v>
      </c>
      <c r="E1430">
        <v>11</v>
      </c>
      <c r="F1430">
        <v>1661</v>
      </c>
      <c r="G1430" t="s">
        <v>40</v>
      </c>
      <c r="H1430">
        <v>18271</v>
      </c>
      <c r="I1430">
        <v>15006.80031022233</v>
      </c>
      <c r="J1430">
        <v>3264.199689777673</v>
      </c>
    </row>
    <row r="1431" spans="1:10" x14ac:dyDescent="0.35">
      <c r="A1431" s="1">
        <v>45335</v>
      </c>
      <c r="B1431" t="s">
        <v>10</v>
      </c>
      <c r="C1431" t="s">
        <v>21</v>
      </c>
      <c r="D1431" t="s">
        <v>31</v>
      </c>
      <c r="E1431">
        <v>8</v>
      </c>
      <c r="F1431">
        <v>1549</v>
      </c>
      <c r="G1431" t="s">
        <v>40</v>
      </c>
      <c r="H1431">
        <v>12392</v>
      </c>
      <c r="I1431">
        <v>9126.7140170395905</v>
      </c>
      <c r="J1431">
        <v>3265.285982960409</v>
      </c>
    </row>
    <row r="1432" spans="1:10" x14ac:dyDescent="0.35">
      <c r="A1432" s="1">
        <v>45596</v>
      </c>
      <c r="B1432" t="s">
        <v>11</v>
      </c>
      <c r="C1432" t="s">
        <v>17</v>
      </c>
      <c r="D1432" t="s">
        <v>36</v>
      </c>
      <c r="E1432">
        <v>8</v>
      </c>
      <c r="F1432">
        <v>780</v>
      </c>
      <c r="G1432" t="s">
        <v>38</v>
      </c>
      <c r="H1432">
        <v>6240</v>
      </c>
      <c r="I1432">
        <v>5590.2852056427901</v>
      </c>
      <c r="J1432">
        <v>649.71479435720994</v>
      </c>
    </row>
    <row r="1433" spans="1:10" x14ac:dyDescent="0.35">
      <c r="A1433" s="1">
        <v>45308</v>
      </c>
      <c r="B1433" t="s">
        <v>12</v>
      </c>
      <c r="C1433" t="s">
        <v>24</v>
      </c>
      <c r="D1433" t="s">
        <v>37</v>
      </c>
      <c r="E1433">
        <v>1</v>
      </c>
      <c r="F1433">
        <v>122</v>
      </c>
      <c r="G1433" t="s">
        <v>40</v>
      </c>
      <c r="H1433">
        <v>122</v>
      </c>
      <c r="I1433">
        <v>94.424114205423678</v>
      </c>
      <c r="J1433">
        <v>27.575885794576319</v>
      </c>
    </row>
    <row r="1434" spans="1:10" x14ac:dyDescent="0.35">
      <c r="A1434" s="1">
        <v>45621</v>
      </c>
      <c r="B1434" t="s">
        <v>13</v>
      </c>
      <c r="C1434" t="s">
        <v>18</v>
      </c>
      <c r="D1434" t="s">
        <v>37</v>
      </c>
      <c r="E1434">
        <v>7</v>
      </c>
      <c r="F1434">
        <v>1170</v>
      </c>
      <c r="G1434" t="s">
        <v>39</v>
      </c>
      <c r="H1434">
        <v>8190</v>
      </c>
      <c r="I1434">
        <v>6468.2474978892433</v>
      </c>
      <c r="J1434">
        <v>1721.752502110757</v>
      </c>
    </row>
    <row r="1435" spans="1:10" x14ac:dyDescent="0.35">
      <c r="A1435" s="1">
        <v>45348</v>
      </c>
      <c r="B1435" t="s">
        <v>12</v>
      </c>
      <c r="C1435" t="s">
        <v>19</v>
      </c>
      <c r="D1435" t="s">
        <v>34</v>
      </c>
      <c r="E1435">
        <v>6</v>
      </c>
      <c r="F1435">
        <v>624</v>
      </c>
      <c r="G1435" t="s">
        <v>40</v>
      </c>
      <c r="H1435">
        <v>3744</v>
      </c>
      <c r="I1435">
        <v>2659.9212587577658</v>
      </c>
      <c r="J1435">
        <v>1084.0787412422339</v>
      </c>
    </row>
    <row r="1436" spans="1:10" x14ac:dyDescent="0.35">
      <c r="A1436" s="1">
        <v>45602</v>
      </c>
      <c r="B1436" t="s">
        <v>11</v>
      </c>
      <c r="C1436" t="s">
        <v>18</v>
      </c>
      <c r="D1436" t="s">
        <v>30</v>
      </c>
      <c r="E1436">
        <v>8</v>
      </c>
      <c r="F1436">
        <v>828</v>
      </c>
      <c r="G1436" t="s">
        <v>39</v>
      </c>
      <c r="H1436">
        <v>6624</v>
      </c>
      <c r="I1436">
        <v>5434.0384576744191</v>
      </c>
      <c r="J1436">
        <v>1189.9615423255809</v>
      </c>
    </row>
    <row r="1437" spans="1:10" x14ac:dyDescent="0.35">
      <c r="A1437" s="1">
        <v>45594</v>
      </c>
      <c r="B1437" t="s">
        <v>10</v>
      </c>
      <c r="C1437" t="s">
        <v>24</v>
      </c>
      <c r="D1437" t="s">
        <v>31</v>
      </c>
      <c r="E1437">
        <v>19</v>
      </c>
      <c r="F1437">
        <v>1957</v>
      </c>
      <c r="G1437" t="s">
        <v>40</v>
      </c>
      <c r="H1437">
        <v>37183</v>
      </c>
      <c r="I1437">
        <v>27830.199837960321</v>
      </c>
      <c r="J1437">
        <v>9352.8001620396753</v>
      </c>
    </row>
    <row r="1438" spans="1:10" x14ac:dyDescent="0.35">
      <c r="A1438" s="1">
        <v>45303</v>
      </c>
      <c r="B1438" t="s">
        <v>12</v>
      </c>
      <c r="C1438" t="s">
        <v>17</v>
      </c>
      <c r="D1438" t="s">
        <v>36</v>
      </c>
      <c r="E1438">
        <v>8</v>
      </c>
      <c r="F1438">
        <v>1829</v>
      </c>
      <c r="G1438" t="s">
        <v>38</v>
      </c>
      <c r="H1438">
        <v>14632</v>
      </c>
      <c r="I1438">
        <v>8858.5053014168061</v>
      </c>
      <c r="J1438">
        <v>5773.4946985831939</v>
      </c>
    </row>
    <row r="1439" spans="1:10" x14ac:dyDescent="0.35">
      <c r="A1439" s="1">
        <v>45609</v>
      </c>
      <c r="B1439" t="s">
        <v>10</v>
      </c>
      <c r="C1439" t="s">
        <v>19</v>
      </c>
      <c r="D1439" t="s">
        <v>30</v>
      </c>
      <c r="E1439">
        <v>14</v>
      </c>
      <c r="F1439">
        <v>243</v>
      </c>
      <c r="G1439" t="s">
        <v>40</v>
      </c>
      <c r="H1439">
        <v>3402</v>
      </c>
      <c r="I1439">
        <v>2662.3183787918829</v>
      </c>
      <c r="J1439">
        <v>739.68162120811667</v>
      </c>
    </row>
    <row r="1440" spans="1:10" x14ac:dyDescent="0.35">
      <c r="A1440" s="1">
        <v>45371</v>
      </c>
      <c r="B1440" t="s">
        <v>12</v>
      </c>
      <c r="C1440" t="s">
        <v>24</v>
      </c>
      <c r="D1440" t="s">
        <v>35</v>
      </c>
      <c r="E1440">
        <v>18</v>
      </c>
      <c r="F1440">
        <v>1708</v>
      </c>
      <c r="G1440" t="s">
        <v>40</v>
      </c>
      <c r="H1440">
        <v>30744</v>
      </c>
      <c r="I1440">
        <v>26105.894894448091</v>
      </c>
      <c r="J1440">
        <v>4638.1051055519129</v>
      </c>
    </row>
    <row r="1441" spans="1:10" x14ac:dyDescent="0.35">
      <c r="A1441" s="1">
        <v>45507</v>
      </c>
      <c r="B1441" t="s">
        <v>10</v>
      </c>
      <c r="C1441" t="s">
        <v>21</v>
      </c>
      <c r="D1441" t="s">
        <v>30</v>
      </c>
      <c r="E1441">
        <v>16</v>
      </c>
      <c r="F1441">
        <v>767</v>
      </c>
      <c r="G1441" t="s">
        <v>40</v>
      </c>
      <c r="H1441">
        <v>12272</v>
      </c>
      <c r="I1441">
        <v>8235.0093966545555</v>
      </c>
      <c r="J1441">
        <v>4036.990603345444</v>
      </c>
    </row>
    <row r="1442" spans="1:10" x14ac:dyDescent="0.35">
      <c r="A1442" s="1">
        <v>45630</v>
      </c>
      <c r="B1442" t="s">
        <v>10</v>
      </c>
      <c r="C1442" t="s">
        <v>19</v>
      </c>
      <c r="D1442" t="s">
        <v>35</v>
      </c>
      <c r="E1442">
        <v>9</v>
      </c>
      <c r="F1442">
        <v>1712</v>
      </c>
      <c r="G1442" t="s">
        <v>40</v>
      </c>
      <c r="H1442">
        <v>15408</v>
      </c>
      <c r="I1442">
        <v>10266.645101505759</v>
      </c>
      <c r="J1442">
        <v>5141.3548984942427</v>
      </c>
    </row>
    <row r="1443" spans="1:10" x14ac:dyDescent="0.35">
      <c r="A1443" s="1">
        <v>45555</v>
      </c>
      <c r="B1443" t="s">
        <v>13</v>
      </c>
      <c r="C1443" t="s">
        <v>22</v>
      </c>
      <c r="D1443" t="s">
        <v>31</v>
      </c>
      <c r="E1443">
        <v>15</v>
      </c>
      <c r="F1443">
        <v>1542</v>
      </c>
      <c r="G1443" t="s">
        <v>40</v>
      </c>
      <c r="H1443">
        <v>23130</v>
      </c>
      <c r="I1443">
        <v>18103.06122466462</v>
      </c>
      <c r="J1443">
        <v>5026.938775335384</v>
      </c>
    </row>
    <row r="1444" spans="1:10" x14ac:dyDescent="0.35">
      <c r="A1444" s="1">
        <v>45440</v>
      </c>
      <c r="B1444" t="s">
        <v>10</v>
      </c>
      <c r="C1444" t="s">
        <v>24</v>
      </c>
      <c r="D1444" t="s">
        <v>36</v>
      </c>
      <c r="E1444">
        <v>10</v>
      </c>
      <c r="F1444">
        <v>780</v>
      </c>
      <c r="G1444" t="s">
        <v>40</v>
      </c>
      <c r="H1444">
        <v>7800</v>
      </c>
      <c r="I1444">
        <v>6594.0715068356558</v>
      </c>
      <c r="J1444">
        <v>1205.928493164344</v>
      </c>
    </row>
    <row r="1445" spans="1:10" x14ac:dyDescent="0.35">
      <c r="A1445" s="1">
        <v>45372</v>
      </c>
      <c r="B1445" t="s">
        <v>13</v>
      </c>
      <c r="C1445" t="s">
        <v>18</v>
      </c>
      <c r="D1445" t="s">
        <v>36</v>
      </c>
      <c r="E1445">
        <v>16</v>
      </c>
      <c r="F1445">
        <v>1072</v>
      </c>
      <c r="G1445" t="s">
        <v>39</v>
      </c>
      <c r="H1445">
        <v>17152</v>
      </c>
      <c r="I1445">
        <v>11575.6464104079</v>
      </c>
      <c r="J1445">
        <v>5576.3535895920977</v>
      </c>
    </row>
    <row r="1446" spans="1:10" x14ac:dyDescent="0.35">
      <c r="A1446" s="1">
        <v>45506</v>
      </c>
      <c r="B1446" t="s">
        <v>11</v>
      </c>
      <c r="C1446" t="s">
        <v>19</v>
      </c>
      <c r="D1446" t="s">
        <v>32</v>
      </c>
      <c r="E1446">
        <v>4</v>
      </c>
      <c r="F1446">
        <v>898</v>
      </c>
      <c r="G1446" t="s">
        <v>40</v>
      </c>
      <c r="H1446">
        <v>3592</v>
      </c>
      <c r="I1446">
        <v>3159.8062329794989</v>
      </c>
      <c r="J1446">
        <v>432.19376702050113</v>
      </c>
    </row>
    <row r="1447" spans="1:10" x14ac:dyDescent="0.35">
      <c r="A1447" s="1">
        <v>45489</v>
      </c>
      <c r="B1447" t="s">
        <v>11</v>
      </c>
      <c r="C1447" t="s">
        <v>21</v>
      </c>
      <c r="D1447" t="s">
        <v>37</v>
      </c>
      <c r="E1447">
        <v>13</v>
      </c>
      <c r="F1447">
        <v>184</v>
      </c>
      <c r="G1447" t="s">
        <v>40</v>
      </c>
      <c r="H1447">
        <v>2392</v>
      </c>
      <c r="I1447">
        <v>2100.6931671546799</v>
      </c>
      <c r="J1447">
        <v>291.30683284532012</v>
      </c>
    </row>
    <row r="1448" spans="1:10" x14ac:dyDescent="0.35">
      <c r="A1448" s="1">
        <v>45491</v>
      </c>
      <c r="B1448" t="s">
        <v>13</v>
      </c>
      <c r="C1448" t="s">
        <v>18</v>
      </c>
      <c r="D1448" t="s">
        <v>33</v>
      </c>
      <c r="E1448">
        <v>5</v>
      </c>
      <c r="F1448">
        <v>515</v>
      </c>
      <c r="G1448" t="s">
        <v>39</v>
      </c>
      <c r="H1448">
        <v>2575</v>
      </c>
      <c r="I1448">
        <v>1699.914579048879</v>
      </c>
      <c r="J1448">
        <v>875.08542095112148</v>
      </c>
    </row>
    <row r="1449" spans="1:10" x14ac:dyDescent="0.35">
      <c r="A1449" s="1">
        <v>45316</v>
      </c>
      <c r="B1449" t="s">
        <v>13</v>
      </c>
      <c r="C1449" t="s">
        <v>23</v>
      </c>
      <c r="D1449" t="s">
        <v>34</v>
      </c>
      <c r="E1449">
        <v>7</v>
      </c>
      <c r="F1449">
        <v>793</v>
      </c>
      <c r="G1449" t="s">
        <v>39</v>
      </c>
      <c r="H1449">
        <v>5551</v>
      </c>
      <c r="I1449">
        <v>3769.880181398215</v>
      </c>
      <c r="J1449">
        <v>1781.119818601785</v>
      </c>
    </row>
    <row r="1450" spans="1:10" x14ac:dyDescent="0.35">
      <c r="A1450" s="1">
        <v>45380</v>
      </c>
      <c r="B1450" t="s">
        <v>12</v>
      </c>
      <c r="C1450" t="s">
        <v>19</v>
      </c>
      <c r="D1450" t="s">
        <v>30</v>
      </c>
      <c r="E1450">
        <v>9</v>
      </c>
      <c r="F1450">
        <v>581</v>
      </c>
      <c r="G1450" t="s">
        <v>40</v>
      </c>
      <c r="H1450">
        <v>5229</v>
      </c>
      <c r="I1450">
        <v>4236.4293547343814</v>
      </c>
      <c r="J1450">
        <v>992.57064526561862</v>
      </c>
    </row>
    <row r="1451" spans="1:10" x14ac:dyDescent="0.35">
      <c r="A1451" s="1">
        <v>45559</v>
      </c>
      <c r="B1451" t="s">
        <v>12</v>
      </c>
      <c r="C1451" t="s">
        <v>19</v>
      </c>
      <c r="D1451" t="s">
        <v>31</v>
      </c>
      <c r="E1451">
        <v>8</v>
      </c>
      <c r="F1451">
        <v>555</v>
      </c>
      <c r="G1451" t="s">
        <v>40</v>
      </c>
      <c r="H1451">
        <v>4440</v>
      </c>
      <c r="I1451">
        <v>3931.7085012205348</v>
      </c>
      <c r="J1451">
        <v>508.29149877946469</v>
      </c>
    </row>
    <row r="1452" spans="1:10" x14ac:dyDescent="0.35">
      <c r="A1452" s="1">
        <v>45434</v>
      </c>
      <c r="B1452" t="s">
        <v>12</v>
      </c>
      <c r="C1452" t="s">
        <v>21</v>
      </c>
      <c r="D1452" t="s">
        <v>33</v>
      </c>
      <c r="E1452">
        <v>16</v>
      </c>
      <c r="F1452">
        <v>926</v>
      </c>
      <c r="G1452" t="s">
        <v>40</v>
      </c>
      <c r="H1452">
        <v>14816</v>
      </c>
      <c r="I1452">
        <v>12044.88657507296</v>
      </c>
      <c r="J1452">
        <v>2771.1134249270358</v>
      </c>
    </row>
    <row r="1453" spans="1:10" x14ac:dyDescent="0.35">
      <c r="A1453" s="1">
        <v>45350</v>
      </c>
      <c r="B1453" t="s">
        <v>11</v>
      </c>
      <c r="C1453" t="s">
        <v>23</v>
      </c>
      <c r="D1453" t="s">
        <v>30</v>
      </c>
      <c r="E1453">
        <v>6</v>
      </c>
      <c r="F1453">
        <v>396</v>
      </c>
      <c r="G1453" t="s">
        <v>39</v>
      </c>
      <c r="H1453">
        <v>2376</v>
      </c>
      <c r="I1453">
        <v>1742.7247555120789</v>
      </c>
      <c r="J1453">
        <v>633.27524448792065</v>
      </c>
    </row>
    <row r="1454" spans="1:10" x14ac:dyDescent="0.35">
      <c r="A1454" s="1">
        <v>45656</v>
      </c>
      <c r="B1454" t="s">
        <v>12</v>
      </c>
      <c r="C1454" t="s">
        <v>24</v>
      </c>
      <c r="D1454" t="s">
        <v>33</v>
      </c>
      <c r="E1454">
        <v>16</v>
      </c>
      <c r="F1454">
        <v>1235</v>
      </c>
      <c r="G1454" t="s">
        <v>40</v>
      </c>
      <c r="H1454">
        <v>19760</v>
      </c>
      <c r="I1454">
        <v>12857.839981616309</v>
      </c>
      <c r="J1454">
        <v>6902.160018383689</v>
      </c>
    </row>
    <row r="1455" spans="1:10" x14ac:dyDescent="0.35">
      <c r="A1455" s="1">
        <v>45317</v>
      </c>
      <c r="B1455" t="s">
        <v>10</v>
      </c>
      <c r="C1455" t="s">
        <v>20</v>
      </c>
      <c r="D1455" t="s">
        <v>31</v>
      </c>
      <c r="E1455">
        <v>6</v>
      </c>
      <c r="F1455">
        <v>1353</v>
      </c>
      <c r="G1455" t="s">
        <v>38</v>
      </c>
      <c r="H1455">
        <v>8118</v>
      </c>
      <c r="I1455">
        <v>5993.5433858640145</v>
      </c>
      <c r="J1455">
        <v>2124.456614135986</v>
      </c>
    </row>
    <row r="1456" spans="1:10" x14ac:dyDescent="0.35">
      <c r="A1456" s="1">
        <v>45338</v>
      </c>
      <c r="B1456" t="s">
        <v>10</v>
      </c>
      <c r="C1456" t="s">
        <v>24</v>
      </c>
      <c r="D1456" t="s">
        <v>36</v>
      </c>
      <c r="E1456">
        <v>14</v>
      </c>
      <c r="F1456">
        <v>1219</v>
      </c>
      <c r="G1456" t="s">
        <v>40</v>
      </c>
      <c r="H1456">
        <v>17066</v>
      </c>
      <c r="I1456">
        <v>13346.129741330849</v>
      </c>
      <c r="J1456">
        <v>3719.8702586691538</v>
      </c>
    </row>
    <row r="1457" spans="1:10" x14ac:dyDescent="0.35">
      <c r="A1457" s="1">
        <v>45579</v>
      </c>
      <c r="B1457" t="s">
        <v>12</v>
      </c>
      <c r="C1457" t="s">
        <v>23</v>
      </c>
      <c r="D1457" t="s">
        <v>31</v>
      </c>
      <c r="E1457">
        <v>1</v>
      </c>
      <c r="F1457">
        <v>1049</v>
      </c>
      <c r="G1457" t="s">
        <v>39</v>
      </c>
      <c r="H1457">
        <v>1049</v>
      </c>
      <c r="I1457">
        <v>733.55056889565788</v>
      </c>
      <c r="J1457">
        <v>315.44943110434212</v>
      </c>
    </row>
    <row r="1458" spans="1:10" x14ac:dyDescent="0.35">
      <c r="A1458" s="1">
        <v>45557</v>
      </c>
      <c r="B1458" t="s">
        <v>10</v>
      </c>
      <c r="C1458" t="s">
        <v>17</v>
      </c>
      <c r="D1458" t="s">
        <v>30</v>
      </c>
      <c r="E1458">
        <v>9</v>
      </c>
      <c r="F1458">
        <v>779</v>
      </c>
      <c r="G1458" t="s">
        <v>38</v>
      </c>
      <c r="H1458">
        <v>7011</v>
      </c>
      <c r="I1458">
        <v>5279.8252753301495</v>
      </c>
      <c r="J1458">
        <v>1731.174724669851</v>
      </c>
    </row>
    <row r="1459" spans="1:10" x14ac:dyDescent="0.35">
      <c r="A1459" s="1">
        <v>45307</v>
      </c>
      <c r="B1459" t="s">
        <v>11</v>
      </c>
      <c r="C1459" t="s">
        <v>18</v>
      </c>
      <c r="D1459" t="s">
        <v>33</v>
      </c>
      <c r="E1459">
        <v>13</v>
      </c>
      <c r="F1459">
        <v>477</v>
      </c>
      <c r="G1459" t="s">
        <v>39</v>
      </c>
      <c r="H1459">
        <v>6201</v>
      </c>
      <c r="I1459">
        <v>3962.8373429298908</v>
      </c>
      <c r="J1459">
        <v>2238.1626570701092</v>
      </c>
    </row>
    <row r="1460" spans="1:10" x14ac:dyDescent="0.35">
      <c r="A1460" s="1">
        <v>45490</v>
      </c>
      <c r="B1460" t="s">
        <v>10</v>
      </c>
      <c r="C1460" t="s">
        <v>21</v>
      </c>
      <c r="D1460" t="s">
        <v>37</v>
      </c>
      <c r="E1460">
        <v>19</v>
      </c>
      <c r="F1460">
        <v>1279</v>
      </c>
      <c r="G1460" t="s">
        <v>40</v>
      </c>
      <c r="H1460">
        <v>24301</v>
      </c>
      <c r="I1460">
        <v>17877.186938328108</v>
      </c>
      <c r="J1460">
        <v>6423.8130616718918</v>
      </c>
    </row>
    <row r="1461" spans="1:10" x14ac:dyDescent="0.35">
      <c r="A1461" s="1">
        <v>45573</v>
      </c>
      <c r="B1461" t="s">
        <v>11</v>
      </c>
      <c r="C1461" t="s">
        <v>24</v>
      </c>
      <c r="D1461" t="s">
        <v>34</v>
      </c>
      <c r="E1461">
        <v>17</v>
      </c>
      <c r="F1461">
        <v>520</v>
      </c>
      <c r="G1461" t="s">
        <v>40</v>
      </c>
      <c r="H1461">
        <v>8840</v>
      </c>
      <c r="I1461">
        <v>5544.737471801177</v>
      </c>
      <c r="J1461">
        <v>3295.262528198823</v>
      </c>
    </row>
    <row r="1462" spans="1:10" x14ac:dyDescent="0.35">
      <c r="A1462" s="1">
        <v>45377</v>
      </c>
      <c r="B1462" t="s">
        <v>13</v>
      </c>
      <c r="C1462" t="s">
        <v>19</v>
      </c>
      <c r="D1462" t="s">
        <v>34</v>
      </c>
      <c r="E1462">
        <v>11</v>
      </c>
      <c r="F1462">
        <v>204</v>
      </c>
      <c r="G1462" t="s">
        <v>40</v>
      </c>
      <c r="H1462">
        <v>2244</v>
      </c>
      <c r="I1462">
        <v>1379.446546465661</v>
      </c>
      <c r="J1462">
        <v>864.5534535343395</v>
      </c>
    </row>
    <row r="1463" spans="1:10" x14ac:dyDescent="0.35">
      <c r="A1463" s="1">
        <v>45541</v>
      </c>
      <c r="B1463" t="s">
        <v>13</v>
      </c>
      <c r="C1463" t="s">
        <v>21</v>
      </c>
      <c r="D1463" t="s">
        <v>37</v>
      </c>
      <c r="E1463">
        <v>8</v>
      </c>
      <c r="F1463">
        <v>1828</v>
      </c>
      <c r="G1463" t="s">
        <v>40</v>
      </c>
      <c r="H1463">
        <v>14624</v>
      </c>
      <c r="I1463">
        <v>12535.282957717371</v>
      </c>
      <c r="J1463">
        <v>2088.717042282633</v>
      </c>
    </row>
    <row r="1464" spans="1:10" x14ac:dyDescent="0.35">
      <c r="A1464" s="1">
        <v>45561</v>
      </c>
      <c r="B1464" t="s">
        <v>13</v>
      </c>
      <c r="C1464" t="s">
        <v>22</v>
      </c>
      <c r="D1464" t="s">
        <v>37</v>
      </c>
      <c r="E1464">
        <v>5</v>
      </c>
      <c r="F1464">
        <v>429</v>
      </c>
      <c r="G1464" t="s">
        <v>40</v>
      </c>
      <c r="H1464">
        <v>2145</v>
      </c>
      <c r="I1464">
        <v>1418.9699993979989</v>
      </c>
      <c r="J1464">
        <v>726.03000060200065</v>
      </c>
    </row>
    <row r="1465" spans="1:10" x14ac:dyDescent="0.35">
      <c r="A1465" s="1">
        <v>45626</v>
      </c>
      <c r="B1465" t="s">
        <v>13</v>
      </c>
      <c r="C1465" t="s">
        <v>23</v>
      </c>
      <c r="D1465" t="s">
        <v>36</v>
      </c>
      <c r="E1465">
        <v>10</v>
      </c>
      <c r="F1465">
        <v>538</v>
      </c>
      <c r="G1465" t="s">
        <v>39</v>
      </c>
      <c r="H1465">
        <v>5380</v>
      </c>
      <c r="I1465">
        <v>4156.3007012124835</v>
      </c>
      <c r="J1465">
        <v>1223.699298787516</v>
      </c>
    </row>
    <row r="1466" spans="1:10" x14ac:dyDescent="0.35">
      <c r="A1466" s="1">
        <v>45408</v>
      </c>
      <c r="B1466" t="s">
        <v>10</v>
      </c>
      <c r="C1466" t="s">
        <v>18</v>
      </c>
      <c r="D1466" t="s">
        <v>30</v>
      </c>
      <c r="E1466">
        <v>7</v>
      </c>
      <c r="F1466">
        <v>1255</v>
      </c>
      <c r="G1466" t="s">
        <v>39</v>
      </c>
      <c r="H1466">
        <v>8785</v>
      </c>
      <c r="I1466">
        <v>5663.6440597895344</v>
      </c>
      <c r="J1466">
        <v>3121.3559402104661</v>
      </c>
    </row>
    <row r="1467" spans="1:10" x14ac:dyDescent="0.35">
      <c r="A1467" s="1">
        <v>45298</v>
      </c>
      <c r="B1467" t="s">
        <v>12</v>
      </c>
      <c r="C1467" t="s">
        <v>24</v>
      </c>
      <c r="D1467" t="s">
        <v>35</v>
      </c>
      <c r="E1467">
        <v>10</v>
      </c>
      <c r="F1467">
        <v>1990</v>
      </c>
      <c r="G1467" t="s">
        <v>40</v>
      </c>
      <c r="H1467">
        <v>19900</v>
      </c>
      <c r="I1467">
        <v>13507.289598328471</v>
      </c>
      <c r="J1467">
        <v>6392.7104016715293</v>
      </c>
    </row>
    <row r="1468" spans="1:10" x14ac:dyDescent="0.35">
      <c r="A1468" s="1">
        <v>45428</v>
      </c>
      <c r="B1468" t="s">
        <v>10</v>
      </c>
      <c r="C1468" t="s">
        <v>21</v>
      </c>
      <c r="D1468" t="s">
        <v>31</v>
      </c>
      <c r="E1468">
        <v>4</v>
      </c>
      <c r="F1468">
        <v>481</v>
      </c>
      <c r="G1468" t="s">
        <v>40</v>
      </c>
      <c r="H1468">
        <v>1924</v>
      </c>
      <c r="I1468">
        <v>1362.965113090946</v>
      </c>
      <c r="J1468">
        <v>561.03488690905351</v>
      </c>
    </row>
    <row r="1469" spans="1:10" x14ac:dyDescent="0.35">
      <c r="A1469" s="1">
        <v>45467</v>
      </c>
      <c r="B1469" t="s">
        <v>11</v>
      </c>
      <c r="C1469" t="s">
        <v>18</v>
      </c>
      <c r="D1469" t="s">
        <v>34</v>
      </c>
      <c r="E1469">
        <v>9</v>
      </c>
      <c r="F1469">
        <v>237</v>
      </c>
      <c r="G1469" t="s">
        <v>39</v>
      </c>
      <c r="H1469">
        <v>2133</v>
      </c>
      <c r="I1469">
        <v>1371.7385516234169</v>
      </c>
      <c r="J1469">
        <v>761.26144837658262</v>
      </c>
    </row>
    <row r="1470" spans="1:10" x14ac:dyDescent="0.35">
      <c r="A1470" s="1">
        <v>45619</v>
      </c>
      <c r="B1470" t="s">
        <v>10</v>
      </c>
      <c r="C1470" t="s">
        <v>24</v>
      </c>
      <c r="D1470" t="s">
        <v>37</v>
      </c>
      <c r="E1470">
        <v>14</v>
      </c>
      <c r="F1470">
        <v>1042</v>
      </c>
      <c r="G1470" t="s">
        <v>40</v>
      </c>
      <c r="H1470">
        <v>14588</v>
      </c>
      <c r="I1470">
        <v>8953.949396639422</v>
      </c>
      <c r="J1470">
        <v>5634.050603360578</v>
      </c>
    </row>
    <row r="1471" spans="1:10" x14ac:dyDescent="0.35">
      <c r="A1471" s="1">
        <v>45606</v>
      </c>
      <c r="B1471" t="s">
        <v>10</v>
      </c>
      <c r="C1471" t="s">
        <v>21</v>
      </c>
      <c r="D1471" t="s">
        <v>31</v>
      </c>
      <c r="E1471">
        <v>2</v>
      </c>
      <c r="F1471">
        <v>942</v>
      </c>
      <c r="G1471" t="s">
        <v>40</v>
      </c>
      <c r="H1471">
        <v>1884</v>
      </c>
      <c r="I1471">
        <v>1626.17072010058</v>
      </c>
      <c r="J1471">
        <v>257.82927989941999</v>
      </c>
    </row>
    <row r="1472" spans="1:10" x14ac:dyDescent="0.35">
      <c r="A1472" s="1">
        <v>45506</v>
      </c>
      <c r="B1472" t="s">
        <v>11</v>
      </c>
      <c r="C1472" t="s">
        <v>19</v>
      </c>
      <c r="D1472" t="s">
        <v>34</v>
      </c>
      <c r="E1472">
        <v>9</v>
      </c>
      <c r="F1472">
        <v>369</v>
      </c>
      <c r="G1472" t="s">
        <v>40</v>
      </c>
      <c r="H1472">
        <v>3321</v>
      </c>
      <c r="I1472">
        <v>2004.389054387017</v>
      </c>
      <c r="J1472">
        <v>1316.610945612983</v>
      </c>
    </row>
    <row r="1473" spans="1:10" x14ac:dyDescent="0.35">
      <c r="A1473" s="1">
        <v>45373</v>
      </c>
      <c r="B1473" t="s">
        <v>13</v>
      </c>
      <c r="C1473" t="s">
        <v>22</v>
      </c>
      <c r="D1473" t="s">
        <v>37</v>
      </c>
      <c r="E1473">
        <v>1</v>
      </c>
      <c r="F1473">
        <v>1673</v>
      </c>
      <c r="G1473" t="s">
        <v>40</v>
      </c>
      <c r="H1473">
        <v>1673</v>
      </c>
      <c r="I1473">
        <v>1034.57700128492</v>
      </c>
      <c r="J1473">
        <v>638.42299871507953</v>
      </c>
    </row>
    <row r="1474" spans="1:10" x14ac:dyDescent="0.35">
      <c r="A1474" s="1">
        <v>45514</v>
      </c>
      <c r="B1474" t="s">
        <v>13</v>
      </c>
      <c r="C1474" t="s">
        <v>22</v>
      </c>
      <c r="D1474" t="s">
        <v>30</v>
      </c>
      <c r="E1474">
        <v>10</v>
      </c>
      <c r="F1474">
        <v>495</v>
      </c>
      <c r="G1474" t="s">
        <v>40</v>
      </c>
      <c r="H1474">
        <v>4950</v>
      </c>
      <c r="I1474">
        <v>4165.532158829732</v>
      </c>
      <c r="J1474">
        <v>784.467841170268</v>
      </c>
    </row>
    <row r="1475" spans="1:10" x14ac:dyDescent="0.35">
      <c r="A1475" s="1">
        <v>45394</v>
      </c>
      <c r="B1475" t="s">
        <v>13</v>
      </c>
      <c r="C1475" t="s">
        <v>17</v>
      </c>
      <c r="D1475" t="s">
        <v>34</v>
      </c>
      <c r="E1475">
        <v>10</v>
      </c>
      <c r="F1475">
        <v>1680</v>
      </c>
      <c r="G1475" t="s">
        <v>38</v>
      </c>
      <c r="H1475">
        <v>16800</v>
      </c>
      <c r="I1475">
        <v>11501.322017336201</v>
      </c>
      <c r="J1475">
        <v>5298.6779826637976</v>
      </c>
    </row>
    <row r="1476" spans="1:10" x14ac:dyDescent="0.35">
      <c r="A1476" s="1">
        <v>45564</v>
      </c>
      <c r="B1476" t="s">
        <v>12</v>
      </c>
      <c r="C1476" t="s">
        <v>21</v>
      </c>
      <c r="D1476" t="s">
        <v>36</v>
      </c>
      <c r="E1476">
        <v>3</v>
      </c>
      <c r="F1476">
        <v>1012</v>
      </c>
      <c r="G1476" t="s">
        <v>40</v>
      </c>
      <c r="H1476">
        <v>3036</v>
      </c>
      <c r="I1476">
        <v>2479.9447302552671</v>
      </c>
      <c r="J1476">
        <v>556.05526974473332</v>
      </c>
    </row>
    <row r="1477" spans="1:10" x14ac:dyDescent="0.35">
      <c r="A1477" s="1">
        <v>45305</v>
      </c>
      <c r="B1477" t="s">
        <v>11</v>
      </c>
      <c r="C1477" t="s">
        <v>24</v>
      </c>
      <c r="D1477" t="s">
        <v>35</v>
      </c>
      <c r="E1477">
        <v>6</v>
      </c>
      <c r="F1477">
        <v>563</v>
      </c>
      <c r="G1477" t="s">
        <v>40</v>
      </c>
      <c r="H1477">
        <v>3378</v>
      </c>
      <c r="I1477">
        <v>2174.9851742574342</v>
      </c>
      <c r="J1477">
        <v>1203.014825742566</v>
      </c>
    </row>
    <row r="1478" spans="1:10" x14ac:dyDescent="0.35">
      <c r="A1478" s="1">
        <v>45450</v>
      </c>
      <c r="B1478" t="s">
        <v>11</v>
      </c>
      <c r="C1478" t="s">
        <v>22</v>
      </c>
      <c r="D1478" t="s">
        <v>35</v>
      </c>
      <c r="E1478">
        <v>6</v>
      </c>
      <c r="F1478">
        <v>1798</v>
      </c>
      <c r="G1478" t="s">
        <v>40</v>
      </c>
      <c r="H1478">
        <v>10788</v>
      </c>
      <c r="I1478">
        <v>7240.7386511584227</v>
      </c>
      <c r="J1478">
        <v>3547.2613488415768</v>
      </c>
    </row>
    <row r="1479" spans="1:10" x14ac:dyDescent="0.35">
      <c r="A1479" s="1">
        <v>45443</v>
      </c>
      <c r="B1479" t="s">
        <v>10</v>
      </c>
      <c r="C1479" t="s">
        <v>23</v>
      </c>
      <c r="D1479" t="s">
        <v>37</v>
      </c>
      <c r="E1479">
        <v>2</v>
      </c>
      <c r="F1479">
        <v>549</v>
      </c>
      <c r="G1479" t="s">
        <v>39</v>
      </c>
      <c r="H1479">
        <v>1098</v>
      </c>
      <c r="I1479">
        <v>847.47258456704969</v>
      </c>
      <c r="J1479">
        <v>250.52741543295031</v>
      </c>
    </row>
    <row r="1480" spans="1:10" x14ac:dyDescent="0.35">
      <c r="A1480" s="1">
        <v>45399</v>
      </c>
      <c r="B1480" t="s">
        <v>12</v>
      </c>
      <c r="C1480" t="s">
        <v>22</v>
      </c>
      <c r="D1480" t="s">
        <v>34</v>
      </c>
      <c r="E1480">
        <v>18</v>
      </c>
      <c r="F1480">
        <v>1454</v>
      </c>
      <c r="G1480" t="s">
        <v>40</v>
      </c>
      <c r="H1480">
        <v>26172</v>
      </c>
      <c r="I1480">
        <v>23465.573149482461</v>
      </c>
      <c r="J1480">
        <v>2706.4268505175419</v>
      </c>
    </row>
    <row r="1481" spans="1:10" x14ac:dyDescent="0.35">
      <c r="A1481" s="1">
        <v>45479</v>
      </c>
      <c r="B1481" t="s">
        <v>13</v>
      </c>
      <c r="C1481" t="s">
        <v>20</v>
      </c>
      <c r="D1481" t="s">
        <v>36</v>
      </c>
      <c r="E1481">
        <v>2</v>
      </c>
      <c r="F1481">
        <v>1376</v>
      </c>
      <c r="G1481" t="s">
        <v>38</v>
      </c>
      <c r="H1481">
        <v>2752</v>
      </c>
      <c r="I1481">
        <v>1711.8357545634551</v>
      </c>
      <c r="J1481">
        <v>1040.1642454365449</v>
      </c>
    </row>
    <row r="1482" spans="1:10" x14ac:dyDescent="0.35">
      <c r="A1482" s="1">
        <v>45592</v>
      </c>
      <c r="B1482" t="s">
        <v>12</v>
      </c>
      <c r="C1482" t="s">
        <v>20</v>
      </c>
      <c r="D1482" t="s">
        <v>32</v>
      </c>
      <c r="E1482">
        <v>12</v>
      </c>
      <c r="F1482">
        <v>1804</v>
      </c>
      <c r="G1482" t="s">
        <v>38</v>
      </c>
      <c r="H1482">
        <v>21648</v>
      </c>
      <c r="I1482">
        <v>15590.161781133211</v>
      </c>
      <c r="J1482">
        <v>6057.8382188667892</v>
      </c>
    </row>
    <row r="1483" spans="1:10" x14ac:dyDescent="0.35">
      <c r="A1483" s="1">
        <v>45389</v>
      </c>
      <c r="B1483" t="s">
        <v>11</v>
      </c>
      <c r="C1483" t="s">
        <v>22</v>
      </c>
      <c r="D1483" t="s">
        <v>31</v>
      </c>
      <c r="E1483">
        <v>5</v>
      </c>
      <c r="F1483">
        <v>1408</v>
      </c>
      <c r="G1483" t="s">
        <v>40</v>
      </c>
      <c r="H1483">
        <v>7040</v>
      </c>
      <c r="I1483">
        <v>4314.9870086525134</v>
      </c>
      <c r="J1483">
        <v>2725.0129913474871</v>
      </c>
    </row>
    <row r="1484" spans="1:10" x14ac:dyDescent="0.35">
      <c r="A1484" s="1">
        <v>45422</v>
      </c>
      <c r="B1484" t="s">
        <v>11</v>
      </c>
      <c r="C1484" t="s">
        <v>21</v>
      </c>
      <c r="D1484" t="s">
        <v>31</v>
      </c>
      <c r="E1484">
        <v>7</v>
      </c>
      <c r="F1484">
        <v>1397</v>
      </c>
      <c r="G1484" t="s">
        <v>40</v>
      </c>
      <c r="H1484">
        <v>9779</v>
      </c>
      <c r="I1484">
        <v>6451.8706148198326</v>
      </c>
      <c r="J1484">
        <v>3327.129385180167</v>
      </c>
    </row>
    <row r="1485" spans="1:10" x14ac:dyDescent="0.35">
      <c r="A1485" s="1">
        <v>45584</v>
      </c>
      <c r="B1485" t="s">
        <v>10</v>
      </c>
      <c r="D1485" t="s">
        <v>33</v>
      </c>
      <c r="E1485">
        <v>16</v>
      </c>
      <c r="F1485">
        <v>119</v>
      </c>
      <c r="G1485" t="s">
        <v>38</v>
      </c>
      <c r="H1485">
        <v>1904</v>
      </c>
      <c r="I1485">
        <v>1660.7474505301541</v>
      </c>
      <c r="J1485">
        <v>243.25254946984609</v>
      </c>
    </row>
    <row r="1486" spans="1:10" x14ac:dyDescent="0.35">
      <c r="A1486" s="1">
        <v>45462</v>
      </c>
      <c r="B1486" t="s">
        <v>10</v>
      </c>
      <c r="C1486" t="s">
        <v>22</v>
      </c>
      <c r="D1486" t="s">
        <v>36</v>
      </c>
      <c r="E1486">
        <v>1</v>
      </c>
      <c r="F1486">
        <v>338</v>
      </c>
      <c r="G1486" t="s">
        <v>40</v>
      </c>
      <c r="H1486">
        <v>338</v>
      </c>
      <c r="I1486">
        <v>212.58105452428259</v>
      </c>
      <c r="J1486">
        <v>125.41894547571739</v>
      </c>
    </row>
    <row r="1487" spans="1:10" x14ac:dyDescent="0.35">
      <c r="A1487" s="1">
        <v>45474</v>
      </c>
      <c r="B1487" t="s">
        <v>11</v>
      </c>
      <c r="C1487" t="s">
        <v>19</v>
      </c>
      <c r="D1487" t="s">
        <v>34</v>
      </c>
      <c r="E1487">
        <v>1</v>
      </c>
      <c r="F1487">
        <v>1393</v>
      </c>
      <c r="G1487" t="s">
        <v>40</v>
      </c>
      <c r="H1487">
        <v>1393</v>
      </c>
      <c r="I1487">
        <v>1193.8800895428769</v>
      </c>
      <c r="J1487">
        <v>199.11991045712281</v>
      </c>
    </row>
    <row r="1488" spans="1:10" x14ac:dyDescent="0.35">
      <c r="A1488" s="1">
        <v>45655</v>
      </c>
      <c r="B1488" t="s">
        <v>13</v>
      </c>
      <c r="C1488" t="s">
        <v>18</v>
      </c>
      <c r="D1488" t="s">
        <v>30</v>
      </c>
      <c r="E1488">
        <v>17</v>
      </c>
      <c r="F1488">
        <v>517</v>
      </c>
      <c r="G1488" t="s">
        <v>39</v>
      </c>
      <c r="H1488">
        <v>8789</v>
      </c>
      <c r="I1488">
        <v>5742.213797924851</v>
      </c>
      <c r="J1488">
        <v>3046.786202075149</v>
      </c>
    </row>
    <row r="1489" spans="1:10" x14ac:dyDescent="0.35">
      <c r="A1489" s="1">
        <v>45330</v>
      </c>
      <c r="B1489" t="s">
        <v>13</v>
      </c>
      <c r="C1489" t="s">
        <v>24</v>
      </c>
      <c r="D1489" t="s">
        <v>30</v>
      </c>
      <c r="E1489">
        <v>1</v>
      </c>
      <c r="F1489">
        <v>1433</v>
      </c>
      <c r="G1489" t="s">
        <v>40</v>
      </c>
      <c r="H1489">
        <v>1433</v>
      </c>
      <c r="I1489">
        <v>1230.281305526559</v>
      </c>
      <c r="J1489">
        <v>202.71869447344099</v>
      </c>
    </row>
    <row r="1490" spans="1:10" x14ac:dyDescent="0.35">
      <c r="A1490" s="1">
        <v>45306</v>
      </c>
      <c r="B1490" t="s">
        <v>12</v>
      </c>
      <c r="C1490" t="s">
        <v>17</v>
      </c>
      <c r="D1490" t="s">
        <v>33</v>
      </c>
      <c r="E1490">
        <v>13</v>
      </c>
      <c r="F1490">
        <v>1154</v>
      </c>
      <c r="G1490" t="s">
        <v>38</v>
      </c>
      <c r="H1490">
        <v>15002</v>
      </c>
      <c r="I1490">
        <v>11422.621647288421</v>
      </c>
      <c r="J1490">
        <v>3579.3783527115788</v>
      </c>
    </row>
    <row r="1491" spans="1:10" x14ac:dyDescent="0.35">
      <c r="A1491" s="1">
        <v>45295</v>
      </c>
      <c r="B1491" t="s">
        <v>11</v>
      </c>
      <c r="C1491" t="s">
        <v>19</v>
      </c>
      <c r="D1491" t="s">
        <v>37</v>
      </c>
      <c r="E1491">
        <v>9</v>
      </c>
      <c r="F1491">
        <v>1949</v>
      </c>
      <c r="G1491" t="s">
        <v>40</v>
      </c>
      <c r="H1491">
        <v>17541</v>
      </c>
      <c r="I1491">
        <v>15145.986981783921</v>
      </c>
      <c r="J1491">
        <v>2395.013018216081</v>
      </c>
    </row>
    <row r="1492" spans="1:10" x14ac:dyDescent="0.35">
      <c r="A1492" s="1">
        <v>45640</v>
      </c>
      <c r="B1492" t="s">
        <v>11</v>
      </c>
      <c r="C1492" t="s">
        <v>17</v>
      </c>
      <c r="D1492" t="s">
        <v>34</v>
      </c>
      <c r="E1492">
        <v>15</v>
      </c>
      <c r="F1492">
        <v>1227</v>
      </c>
      <c r="G1492" t="s">
        <v>38</v>
      </c>
      <c r="H1492">
        <v>18405</v>
      </c>
      <c r="I1492">
        <v>11880.63167394337</v>
      </c>
      <c r="J1492">
        <v>6524.3683260566304</v>
      </c>
    </row>
    <row r="1493" spans="1:10" x14ac:dyDescent="0.35">
      <c r="A1493" s="1">
        <v>45501</v>
      </c>
      <c r="B1493" t="s">
        <v>13</v>
      </c>
      <c r="C1493" t="s">
        <v>19</v>
      </c>
      <c r="D1493" t="s">
        <v>33</v>
      </c>
      <c r="F1493">
        <v>1805</v>
      </c>
      <c r="G1493" t="s">
        <v>40</v>
      </c>
    </row>
    <row r="1494" spans="1:10" x14ac:dyDescent="0.35">
      <c r="A1494" s="1">
        <v>45452</v>
      </c>
      <c r="B1494" t="s">
        <v>13</v>
      </c>
      <c r="C1494" t="s">
        <v>24</v>
      </c>
      <c r="D1494" t="s">
        <v>35</v>
      </c>
      <c r="E1494">
        <v>14</v>
      </c>
      <c r="F1494">
        <v>285</v>
      </c>
      <c r="G1494" t="s">
        <v>40</v>
      </c>
      <c r="H1494">
        <v>3990</v>
      </c>
      <c r="I1494">
        <v>3208.7962195084501</v>
      </c>
      <c r="J1494">
        <v>781.20378049154988</v>
      </c>
    </row>
    <row r="1495" spans="1:10" x14ac:dyDescent="0.35">
      <c r="A1495" s="1">
        <v>45307</v>
      </c>
      <c r="B1495" t="s">
        <v>11</v>
      </c>
      <c r="C1495" t="s">
        <v>24</v>
      </c>
      <c r="D1495" t="s">
        <v>31</v>
      </c>
      <c r="E1495">
        <v>11</v>
      </c>
      <c r="F1495">
        <v>1251</v>
      </c>
      <c r="G1495" t="s">
        <v>40</v>
      </c>
      <c r="H1495">
        <v>13761</v>
      </c>
      <c r="I1495">
        <v>10497.99190317437</v>
      </c>
      <c r="J1495">
        <v>3263.008096825632</v>
      </c>
    </row>
    <row r="1496" spans="1:10" x14ac:dyDescent="0.35">
      <c r="A1496" s="1">
        <v>45399</v>
      </c>
      <c r="B1496" t="s">
        <v>10</v>
      </c>
      <c r="C1496" t="s">
        <v>20</v>
      </c>
      <c r="D1496" t="s">
        <v>34</v>
      </c>
      <c r="E1496">
        <v>12</v>
      </c>
      <c r="F1496">
        <v>1333</v>
      </c>
      <c r="G1496" t="s">
        <v>38</v>
      </c>
      <c r="H1496">
        <v>15996</v>
      </c>
      <c r="I1496">
        <v>13487.446548359379</v>
      </c>
      <c r="J1496">
        <v>2508.5534516406219</v>
      </c>
    </row>
    <row r="1497" spans="1:10" x14ac:dyDescent="0.35">
      <c r="A1497" s="1">
        <v>45602</v>
      </c>
      <c r="B1497" t="s">
        <v>11</v>
      </c>
      <c r="C1497" t="s">
        <v>21</v>
      </c>
      <c r="D1497" t="s">
        <v>33</v>
      </c>
      <c r="E1497">
        <v>13</v>
      </c>
      <c r="F1497">
        <v>1537</v>
      </c>
      <c r="G1497" t="s">
        <v>40</v>
      </c>
      <c r="H1497">
        <v>19981</v>
      </c>
      <c r="I1497">
        <v>15874.560973223</v>
      </c>
      <c r="J1497">
        <v>4106.4390267769959</v>
      </c>
    </row>
    <row r="1498" spans="1:10" x14ac:dyDescent="0.35">
      <c r="A1498" s="1">
        <v>45518</v>
      </c>
      <c r="B1498" t="s">
        <v>11</v>
      </c>
      <c r="C1498" t="s">
        <v>19</v>
      </c>
      <c r="D1498" t="s">
        <v>35</v>
      </c>
      <c r="E1498">
        <v>13</v>
      </c>
      <c r="F1498">
        <v>1404</v>
      </c>
      <c r="G1498" t="s">
        <v>40</v>
      </c>
      <c r="H1498">
        <v>18252</v>
      </c>
      <c r="I1498">
        <v>15753.558140382191</v>
      </c>
      <c r="J1498">
        <v>2498.4418596178061</v>
      </c>
    </row>
    <row r="1499" spans="1:10" x14ac:dyDescent="0.35">
      <c r="A1499" s="1">
        <v>45461</v>
      </c>
      <c r="B1499" t="s">
        <v>50</v>
      </c>
      <c r="C1499" t="s">
        <v>18</v>
      </c>
      <c r="D1499" t="s">
        <v>36</v>
      </c>
      <c r="E1499">
        <v>1</v>
      </c>
      <c r="F1499">
        <v>352</v>
      </c>
      <c r="G1499" t="s">
        <v>39</v>
      </c>
      <c r="H1499">
        <v>352</v>
      </c>
      <c r="I1499">
        <v>251.44016270055579</v>
      </c>
      <c r="J1499">
        <v>100.5598372994442</v>
      </c>
    </row>
    <row r="1500" spans="1:10" x14ac:dyDescent="0.35">
      <c r="A1500" s="1">
        <v>45325</v>
      </c>
      <c r="B1500" t="s">
        <v>13</v>
      </c>
      <c r="C1500" t="s">
        <v>20</v>
      </c>
      <c r="D1500" t="s">
        <v>33</v>
      </c>
      <c r="E1500">
        <v>10</v>
      </c>
      <c r="F1500">
        <v>118</v>
      </c>
      <c r="G1500" t="s">
        <v>38</v>
      </c>
      <c r="H1500">
        <v>1180</v>
      </c>
      <c r="I1500">
        <v>916.83280510893042</v>
      </c>
      <c r="J1500">
        <v>263.16719489106958</v>
      </c>
    </row>
    <row r="1501" spans="1:10" x14ac:dyDescent="0.35">
      <c r="A1501" s="1">
        <v>45542</v>
      </c>
      <c r="B1501" t="s">
        <v>10</v>
      </c>
      <c r="C1501" t="s">
        <v>19</v>
      </c>
      <c r="D1501" t="s">
        <v>37</v>
      </c>
      <c r="E1501">
        <v>3</v>
      </c>
      <c r="F1501">
        <v>811</v>
      </c>
      <c r="G1501" t="s">
        <v>40</v>
      </c>
      <c r="H1501">
        <v>2433</v>
      </c>
      <c r="I1501">
        <v>2095.2515549960121</v>
      </c>
      <c r="J1501">
        <v>337.74844500398831</v>
      </c>
    </row>
    <row r="1502" spans="1:10" x14ac:dyDescent="0.35">
      <c r="A1502" s="1">
        <v>45538</v>
      </c>
      <c r="B1502" t="s">
        <v>10</v>
      </c>
      <c r="C1502" t="s">
        <v>20</v>
      </c>
      <c r="D1502" t="s">
        <v>37</v>
      </c>
      <c r="E1502">
        <v>4</v>
      </c>
      <c r="F1502">
        <v>1855</v>
      </c>
      <c r="G1502" t="s">
        <v>38</v>
      </c>
      <c r="H1502">
        <v>7420</v>
      </c>
      <c r="I1502">
        <v>4930.1761066958043</v>
      </c>
      <c r="J1502">
        <v>2489.8238933041962</v>
      </c>
    </row>
    <row r="1503" spans="1:10" x14ac:dyDescent="0.35">
      <c r="A1503" s="1">
        <v>45560</v>
      </c>
      <c r="B1503" t="s">
        <v>12</v>
      </c>
      <c r="C1503" t="s">
        <v>24</v>
      </c>
      <c r="D1503" t="s">
        <v>37</v>
      </c>
      <c r="E1503">
        <v>16</v>
      </c>
      <c r="F1503">
        <v>1259</v>
      </c>
      <c r="G1503" t="s">
        <v>40</v>
      </c>
      <c r="H1503">
        <v>20144</v>
      </c>
      <c r="I1503">
        <v>15021.832166306969</v>
      </c>
      <c r="J1503">
        <v>5122.1678336930254</v>
      </c>
    </row>
    <row r="1504" spans="1:10" x14ac:dyDescent="0.35">
      <c r="A1504" s="1">
        <v>45432</v>
      </c>
      <c r="B1504" t="s">
        <v>11</v>
      </c>
      <c r="C1504" t="s">
        <v>17</v>
      </c>
      <c r="D1504" t="s">
        <v>34</v>
      </c>
      <c r="E1504">
        <v>8</v>
      </c>
      <c r="F1504">
        <v>322</v>
      </c>
      <c r="G1504" t="s">
        <v>38</v>
      </c>
      <c r="H1504">
        <v>2576</v>
      </c>
      <c r="I1504">
        <v>2288.0612798319148</v>
      </c>
      <c r="J1504">
        <v>287.93872016808473</v>
      </c>
    </row>
    <row r="1505" spans="1:10" x14ac:dyDescent="0.35">
      <c r="A1505" s="1">
        <v>45565</v>
      </c>
      <c r="B1505" t="s">
        <v>13</v>
      </c>
      <c r="C1505" t="s">
        <v>23</v>
      </c>
      <c r="D1505" t="s">
        <v>30</v>
      </c>
      <c r="E1505">
        <v>16</v>
      </c>
      <c r="F1505">
        <v>102</v>
      </c>
      <c r="G1505" t="s">
        <v>39</v>
      </c>
      <c r="H1505">
        <v>1632</v>
      </c>
      <c r="I1505">
        <v>1211.075442011798</v>
      </c>
      <c r="J1505">
        <v>420.92455798820242</v>
      </c>
    </row>
    <row r="1506" spans="1:10" x14ac:dyDescent="0.35">
      <c r="A1506" s="1">
        <v>45387</v>
      </c>
      <c r="B1506" t="s">
        <v>10</v>
      </c>
      <c r="C1506" t="s">
        <v>20</v>
      </c>
      <c r="D1506" t="s">
        <v>30</v>
      </c>
      <c r="E1506">
        <v>17</v>
      </c>
      <c r="F1506">
        <v>1359</v>
      </c>
      <c r="G1506" t="s">
        <v>38</v>
      </c>
      <c r="H1506">
        <v>23103</v>
      </c>
      <c r="I1506">
        <v>15614.13560170577</v>
      </c>
      <c r="J1506">
        <v>7488.8643982942303</v>
      </c>
    </row>
    <row r="1507" spans="1:10" x14ac:dyDescent="0.35">
      <c r="A1507" s="1">
        <v>45518</v>
      </c>
      <c r="B1507" t="s">
        <v>12</v>
      </c>
      <c r="C1507" t="s">
        <v>19</v>
      </c>
      <c r="D1507" t="s">
        <v>31</v>
      </c>
      <c r="E1507">
        <v>19</v>
      </c>
      <c r="F1507">
        <v>953</v>
      </c>
      <c r="G1507" t="s">
        <v>40</v>
      </c>
      <c r="H1507">
        <v>18107</v>
      </c>
      <c r="I1507">
        <v>12771.281236477151</v>
      </c>
      <c r="J1507">
        <v>5335.7187635228547</v>
      </c>
    </row>
    <row r="1508" spans="1:10" x14ac:dyDescent="0.35">
      <c r="A1508" s="1">
        <v>45330</v>
      </c>
      <c r="B1508" t="s">
        <v>12</v>
      </c>
      <c r="C1508" t="s">
        <v>19</v>
      </c>
      <c r="D1508" t="s">
        <v>33</v>
      </c>
      <c r="E1508">
        <v>15</v>
      </c>
      <c r="F1508">
        <v>1588</v>
      </c>
      <c r="G1508" t="s">
        <v>40</v>
      </c>
      <c r="H1508">
        <v>23820</v>
      </c>
      <c r="I1508">
        <v>20616.811117042649</v>
      </c>
      <c r="J1508">
        <v>3203.1888829573509</v>
      </c>
    </row>
    <row r="1509" spans="1:10" x14ac:dyDescent="0.35">
      <c r="A1509" s="1">
        <v>45593</v>
      </c>
      <c r="B1509" t="s">
        <v>13</v>
      </c>
      <c r="C1509" t="s">
        <v>23</v>
      </c>
      <c r="D1509" t="s">
        <v>36</v>
      </c>
      <c r="E1509">
        <v>16</v>
      </c>
      <c r="G1509" t="s">
        <v>39</v>
      </c>
    </row>
    <row r="1510" spans="1:10" x14ac:dyDescent="0.35">
      <c r="A1510" s="1">
        <v>45320</v>
      </c>
      <c r="B1510" t="s">
        <v>13</v>
      </c>
      <c r="C1510" t="s">
        <v>21</v>
      </c>
      <c r="D1510" t="s">
        <v>33</v>
      </c>
      <c r="E1510">
        <v>15</v>
      </c>
      <c r="F1510">
        <v>1012</v>
      </c>
      <c r="G1510" t="s">
        <v>40</v>
      </c>
      <c r="H1510">
        <v>15180</v>
      </c>
      <c r="I1510">
        <v>13434.79020479268</v>
      </c>
      <c r="J1510">
        <v>1745.209795207322</v>
      </c>
    </row>
    <row r="1511" spans="1:10" x14ac:dyDescent="0.35">
      <c r="A1511" s="1">
        <v>45609</v>
      </c>
      <c r="B1511" t="s">
        <v>12</v>
      </c>
      <c r="C1511" t="s">
        <v>18</v>
      </c>
      <c r="D1511" t="s">
        <v>31</v>
      </c>
      <c r="E1511">
        <v>2</v>
      </c>
      <c r="F1511">
        <v>1777</v>
      </c>
      <c r="G1511" t="s">
        <v>39</v>
      </c>
      <c r="H1511">
        <v>3554</v>
      </c>
      <c r="I1511">
        <v>2877.612378316891</v>
      </c>
      <c r="J1511">
        <v>676.38762168310905</v>
      </c>
    </row>
    <row r="1512" spans="1:10" x14ac:dyDescent="0.35">
      <c r="A1512" s="1">
        <v>45536</v>
      </c>
      <c r="B1512" t="s">
        <v>10</v>
      </c>
      <c r="C1512" t="s">
        <v>24</v>
      </c>
      <c r="D1512" t="s">
        <v>35</v>
      </c>
      <c r="E1512">
        <v>11</v>
      </c>
      <c r="F1512">
        <v>598</v>
      </c>
      <c r="G1512" t="s">
        <v>40</v>
      </c>
      <c r="H1512">
        <v>6578</v>
      </c>
      <c r="I1512">
        <v>4952.4483674064904</v>
      </c>
      <c r="J1512">
        <v>1625.55163259351</v>
      </c>
    </row>
    <row r="1513" spans="1:10" x14ac:dyDescent="0.35">
      <c r="A1513" s="1">
        <v>45527</v>
      </c>
      <c r="B1513" t="s">
        <v>12</v>
      </c>
      <c r="C1513" t="s">
        <v>19</v>
      </c>
      <c r="D1513" t="s">
        <v>31</v>
      </c>
      <c r="E1513">
        <v>1</v>
      </c>
      <c r="F1513">
        <v>620</v>
      </c>
      <c r="G1513" t="s">
        <v>40</v>
      </c>
      <c r="H1513">
        <v>620</v>
      </c>
      <c r="I1513">
        <v>405.98014189276557</v>
      </c>
      <c r="J1513">
        <v>214.0198581072344</v>
      </c>
    </row>
    <row r="1514" spans="1:10" x14ac:dyDescent="0.35">
      <c r="A1514" s="1">
        <v>45476</v>
      </c>
      <c r="B1514" t="s">
        <v>11</v>
      </c>
      <c r="C1514" t="s">
        <v>22</v>
      </c>
      <c r="D1514" t="s">
        <v>37</v>
      </c>
      <c r="E1514">
        <v>15</v>
      </c>
      <c r="F1514">
        <v>801</v>
      </c>
      <c r="G1514" t="s">
        <v>40</v>
      </c>
      <c r="H1514">
        <v>12015</v>
      </c>
      <c r="I1514">
        <v>7653.1501380079899</v>
      </c>
      <c r="J1514">
        <v>4361.8498619920101</v>
      </c>
    </row>
    <row r="1515" spans="1:10" x14ac:dyDescent="0.35">
      <c r="A1515" s="1">
        <v>45563</v>
      </c>
      <c r="B1515" t="s">
        <v>11</v>
      </c>
      <c r="C1515" t="s">
        <v>17</v>
      </c>
      <c r="D1515" t="s">
        <v>34</v>
      </c>
      <c r="E1515">
        <v>19</v>
      </c>
      <c r="F1515">
        <v>1985</v>
      </c>
      <c r="G1515" t="s">
        <v>38</v>
      </c>
      <c r="H1515">
        <v>37715</v>
      </c>
      <c r="I1515">
        <v>23305.229282158009</v>
      </c>
      <c r="J1515">
        <v>14409.77071784199</v>
      </c>
    </row>
    <row r="1516" spans="1:10" x14ac:dyDescent="0.35">
      <c r="A1516" s="1">
        <v>45527</v>
      </c>
      <c r="B1516" t="s">
        <v>13</v>
      </c>
      <c r="C1516" t="s">
        <v>20</v>
      </c>
      <c r="D1516" t="s">
        <v>35</v>
      </c>
      <c r="E1516">
        <v>4</v>
      </c>
      <c r="F1516">
        <v>1016</v>
      </c>
      <c r="G1516" t="s">
        <v>38</v>
      </c>
      <c r="H1516">
        <v>4064</v>
      </c>
      <c r="I1516">
        <v>2459.9980176733352</v>
      </c>
      <c r="J1516">
        <v>1604.001982326665</v>
      </c>
    </row>
    <row r="1517" spans="1:10" x14ac:dyDescent="0.35">
      <c r="A1517" s="1">
        <v>45530</v>
      </c>
      <c r="B1517" t="s">
        <v>10</v>
      </c>
      <c r="C1517" t="s">
        <v>21</v>
      </c>
      <c r="D1517" t="s">
        <v>34</v>
      </c>
      <c r="E1517">
        <v>11</v>
      </c>
      <c r="F1517">
        <v>1800</v>
      </c>
      <c r="G1517" t="s">
        <v>40</v>
      </c>
      <c r="H1517">
        <v>19800</v>
      </c>
      <c r="I1517">
        <v>17096.013329307749</v>
      </c>
      <c r="J1517">
        <v>2703.986670692248</v>
      </c>
    </row>
    <row r="1518" spans="1:10" x14ac:dyDescent="0.35">
      <c r="A1518" s="1">
        <v>45557</v>
      </c>
      <c r="B1518" t="s">
        <v>10</v>
      </c>
      <c r="C1518" t="s">
        <v>18</v>
      </c>
      <c r="D1518" t="s">
        <v>37</v>
      </c>
      <c r="E1518">
        <v>5</v>
      </c>
      <c r="F1518">
        <v>1262</v>
      </c>
      <c r="G1518" t="s">
        <v>39</v>
      </c>
      <c r="H1518">
        <v>6310</v>
      </c>
      <c r="I1518">
        <v>5317.6003958157307</v>
      </c>
      <c r="J1518">
        <v>992.39960418426926</v>
      </c>
    </row>
    <row r="1519" spans="1:10" x14ac:dyDescent="0.35">
      <c r="A1519" s="1">
        <v>45650</v>
      </c>
      <c r="B1519" t="s">
        <v>11</v>
      </c>
      <c r="C1519" t="s">
        <v>23</v>
      </c>
      <c r="D1519" t="s">
        <v>32</v>
      </c>
      <c r="E1519">
        <v>3</v>
      </c>
      <c r="F1519">
        <v>1399</v>
      </c>
      <c r="G1519" t="s">
        <v>39</v>
      </c>
      <c r="H1519">
        <v>4197</v>
      </c>
      <c r="I1519">
        <v>3233.1439001881431</v>
      </c>
      <c r="J1519">
        <v>963.85609981185689</v>
      </c>
    </row>
    <row r="1520" spans="1:10" x14ac:dyDescent="0.35">
      <c r="A1520" s="1">
        <v>45631</v>
      </c>
      <c r="B1520" t="s">
        <v>12</v>
      </c>
      <c r="C1520" t="s">
        <v>17</v>
      </c>
      <c r="D1520" t="s">
        <v>31</v>
      </c>
      <c r="E1520">
        <v>13</v>
      </c>
      <c r="F1520">
        <v>390</v>
      </c>
      <c r="G1520" t="s">
        <v>38</v>
      </c>
      <c r="H1520">
        <v>5070</v>
      </c>
      <c r="I1520">
        <v>4561.0580701518629</v>
      </c>
      <c r="J1520">
        <v>508.94192984813708</v>
      </c>
    </row>
    <row r="1521" spans="1:10" x14ac:dyDescent="0.35">
      <c r="A1521" s="1">
        <v>45356</v>
      </c>
      <c r="B1521" t="s">
        <v>13</v>
      </c>
      <c r="C1521" t="s">
        <v>24</v>
      </c>
      <c r="D1521" t="s">
        <v>31</v>
      </c>
      <c r="E1521">
        <v>10</v>
      </c>
      <c r="F1521">
        <v>1176</v>
      </c>
      <c r="G1521" t="s">
        <v>40</v>
      </c>
      <c r="H1521">
        <v>11760</v>
      </c>
      <c r="I1521">
        <v>10418.367710727391</v>
      </c>
      <c r="J1521">
        <v>1341.6322892726089</v>
      </c>
    </row>
    <row r="1522" spans="1:10" x14ac:dyDescent="0.35">
      <c r="A1522" s="1">
        <v>45468</v>
      </c>
      <c r="B1522" t="s">
        <v>12</v>
      </c>
      <c r="C1522" t="s">
        <v>21</v>
      </c>
      <c r="D1522" t="s">
        <v>36</v>
      </c>
      <c r="E1522">
        <v>11</v>
      </c>
      <c r="F1522">
        <v>1810</v>
      </c>
      <c r="G1522" t="s">
        <v>40</v>
      </c>
      <c r="H1522">
        <v>19910</v>
      </c>
      <c r="I1522">
        <v>15858.965882078939</v>
      </c>
      <c r="J1522">
        <v>4051.0341179210568</v>
      </c>
    </row>
    <row r="1523" spans="1:10" x14ac:dyDescent="0.35">
      <c r="A1523" s="1">
        <v>45294</v>
      </c>
      <c r="B1523" t="s">
        <v>12</v>
      </c>
      <c r="C1523" t="s">
        <v>18</v>
      </c>
      <c r="D1523" t="s">
        <v>33</v>
      </c>
      <c r="E1523">
        <v>18</v>
      </c>
      <c r="F1523">
        <v>1233</v>
      </c>
      <c r="G1523" t="s">
        <v>39</v>
      </c>
      <c r="H1523">
        <v>22194</v>
      </c>
      <c r="I1523">
        <v>16409.63038226742</v>
      </c>
      <c r="J1523">
        <v>5784.3696177325837</v>
      </c>
    </row>
    <row r="1524" spans="1:10" x14ac:dyDescent="0.35">
      <c r="A1524" s="1">
        <v>45433</v>
      </c>
      <c r="B1524" t="s">
        <v>12</v>
      </c>
      <c r="C1524" t="s">
        <v>20</v>
      </c>
      <c r="D1524" t="s">
        <v>35</v>
      </c>
      <c r="E1524">
        <v>2</v>
      </c>
      <c r="F1524">
        <v>814</v>
      </c>
      <c r="G1524" t="s">
        <v>38</v>
      </c>
      <c r="H1524">
        <v>1628</v>
      </c>
      <c r="I1524">
        <v>1051.1201777496519</v>
      </c>
      <c r="J1524">
        <v>576.87982225034762</v>
      </c>
    </row>
    <row r="1525" spans="1:10" x14ac:dyDescent="0.35">
      <c r="A1525" s="1">
        <v>45449</v>
      </c>
      <c r="B1525" t="s">
        <v>10</v>
      </c>
      <c r="C1525" t="s">
        <v>20</v>
      </c>
      <c r="D1525" t="s">
        <v>30</v>
      </c>
      <c r="E1525">
        <v>7</v>
      </c>
      <c r="F1525">
        <v>1047</v>
      </c>
      <c r="G1525" t="s">
        <v>38</v>
      </c>
      <c r="H1525">
        <v>7329</v>
      </c>
      <c r="I1525">
        <v>5531.0360996127447</v>
      </c>
      <c r="J1525">
        <v>1797.9639003872551</v>
      </c>
    </row>
    <row r="1526" spans="1:10" x14ac:dyDescent="0.35">
      <c r="A1526" s="1">
        <v>45615</v>
      </c>
      <c r="B1526" t="s">
        <v>11</v>
      </c>
      <c r="C1526" t="s">
        <v>23</v>
      </c>
      <c r="E1526">
        <v>9</v>
      </c>
      <c r="F1526">
        <v>747</v>
      </c>
      <c r="G1526" t="s">
        <v>39</v>
      </c>
      <c r="H1526">
        <v>6723</v>
      </c>
      <c r="I1526">
        <v>4351.9532138428194</v>
      </c>
      <c r="J1526">
        <v>2371.046786157181</v>
      </c>
    </row>
    <row r="1527" spans="1:10" x14ac:dyDescent="0.35">
      <c r="A1527" s="1">
        <v>45437</v>
      </c>
      <c r="B1527" t="s">
        <v>10</v>
      </c>
      <c r="C1527" t="s">
        <v>22</v>
      </c>
      <c r="D1527" t="s">
        <v>35</v>
      </c>
      <c r="E1527">
        <v>10</v>
      </c>
      <c r="F1527">
        <v>1127</v>
      </c>
      <c r="G1527" t="s">
        <v>40</v>
      </c>
      <c r="H1527">
        <v>11270</v>
      </c>
      <c r="I1527">
        <v>8109.1638596563653</v>
      </c>
      <c r="J1527">
        <v>3160.8361403436352</v>
      </c>
    </row>
    <row r="1528" spans="1:10" x14ac:dyDescent="0.35">
      <c r="A1528" s="1">
        <v>45584</v>
      </c>
      <c r="B1528" t="s">
        <v>11</v>
      </c>
      <c r="C1528" t="s">
        <v>23</v>
      </c>
      <c r="D1528" t="s">
        <v>36</v>
      </c>
      <c r="E1528">
        <v>18</v>
      </c>
      <c r="F1528">
        <v>1790</v>
      </c>
      <c r="G1528" t="s">
        <v>39</v>
      </c>
      <c r="H1528">
        <v>32220</v>
      </c>
      <c r="I1528">
        <v>28443.636616110969</v>
      </c>
      <c r="J1528">
        <v>3776.3633838890269</v>
      </c>
    </row>
    <row r="1529" spans="1:10" x14ac:dyDescent="0.35">
      <c r="A1529" s="1">
        <v>45444</v>
      </c>
      <c r="B1529" t="s">
        <v>13</v>
      </c>
      <c r="C1529" t="s">
        <v>24</v>
      </c>
      <c r="D1529" t="s">
        <v>36</v>
      </c>
      <c r="E1529">
        <v>7</v>
      </c>
      <c r="F1529">
        <v>783</v>
      </c>
      <c r="G1529" t="s">
        <v>40</v>
      </c>
      <c r="H1529">
        <v>5481</v>
      </c>
      <c r="I1529">
        <v>3850.9160521645881</v>
      </c>
      <c r="J1529">
        <v>1630.0839478354119</v>
      </c>
    </row>
    <row r="1530" spans="1:10" x14ac:dyDescent="0.35">
      <c r="A1530" s="1">
        <v>45484</v>
      </c>
      <c r="B1530" t="s">
        <v>13</v>
      </c>
      <c r="C1530" t="s">
        <v>21</v>
      </c>
      <c r="D1530" t="s">
        <v>34</v>
      </c>
      <c r="E1530">
        <v>7</v>
      </c>
      <c r="F1530">
        <v>969</v>
      </c>
      <c r="G1530" t="s">
        <v>40</v>
      </c>
      <c r="H1530">
        <v>6783</v>
      </c>
      <c r="I1530">
        <v>4380.7068231370913</v>
      </c>
      <c r="J1530">
        <v>2402.2931768629091</v>
      </c>
    </row>
    <row r="1531" spans="1:10" x14ac:dyDescent="0.35">
      <c r="A1531" s="1">
        <v>45364</v>
      </c>
      <c r="B1531" t="s">
        <v>12</v>
      </c>
      <c r="C1531" t="s">
        <v>21</v>
      </c>
      <c r="D1531" t="s">
        <v>30</v>
      </c>
      <c r="E1531">
        <v>3</v>
      </c>
      <c r="F1531">
        <v>1170</v>
      </c>
      <c r="G1531" t="s">
        <v>40</v>
      </c>
      <c r="H1531">
        <v>3510</v>
      </c>
      <c r="I1531">
        <v>2719.2636242607341</v>
      </c>
      <c r="J1531">
        <v>790.7363757392659</v>
      </c>
    </row>
    <row r="1532" spans="1:10" x14ac:dyDescent="0.35">
      <c r="A1532" s="1">
        <v>45596</v>
      </c>
      <c r="B1532" t="s">
        <v>11</v>
      </c>
      <c r="C1532" t="s">
        <v>19</v>
      </c>
      <c r="D1532" t="s">
        <v>33</v>
      </c>
      <c r="E1532">
        <v>12</v>
      </c>
      <c r="F1532">
        <v>193</v>
      </c>
      <c r="G1532" t="s">
        <v>40</v>
      </c>
      <c r="H1532">
        <v>2316</v>
      </c>
      <c r="I1532">
        <v>1808.122628183768</v>
      </c>
      <c r="J1532">
        <v>507.87737181623243</v>
      </c>
    </row>
    <row r="1533" spans="1:10" x14ac:dyDescent="0.35">
      <c r="A1533" s="1">
        <v>45635</v>
      </c>
      <c r="B1533" t="s">
        <v>11</v>
      </c>
      <c r="C1533" t="s">
        <v>22</v>
      </c>
      <c r="D1533" t="s">
        <v>34</v>
      </c>
      <c r="E1533">
        <v>7</v>
      </c>
      <c r="F1533">
        <v>1039</v>
      </c>
      <c r="G1533" t="s">
        <v>40</v>
      </c>
      <c r="H1533">
        <v>7273</v>
      </c>
      <c r="I1533">
        <v>4786.6614766407456</v>
      </c>
      <c r="J1533">
        <v>2486.3385233592539</v>
      </c>
    </row>
    <row r="1534" spans="1:10" x14ac:dyDescent="0.35">
      <c r="A1534" s="1">
        <v>45431</v>
      </c>
      <c r="B1534" t="s">
        <v>11</v>
      </c>
      <c r="C1534" t="s">
        <v>22</v>
      </c>
      <c r="D1534" t="s">
        <v>34</v>
      </c>
      <c r="E1534">
        <v>17</v>
      </c>
      <c r="F1534">
        <v>659</v>
      </c>
      <c r="G1534" t="s">
        <v>40</v>
      </c>
      <c r="H1534">
        <v>11203</v>
      </c>
      <c r="I1534">
        <v>7382.5078622042101</v>
      </c>
      <c r="J1534">
        <v>3820.4921377957899</v>
      </c>
    </row>
    <row r="1535" spans="1:10" x14ac:dyDescent="0.35">
      <c r="A1535" s="1">
        <v>45478</v>
      </c>
      <c r="B1535" t="s">
        <v>12</v>
      </c>
      <c r="C1535" t="s">
        <v>21</v>
      </c>
      <c r="D1535" t="s">
        <v>37</v>
      </c>
      <c r="E1535">
        <v>1</v>
      </c>
      <c r="F1535">
        <v>1875</v>
      </c>
      <c r="G1535" t="s">
        <v>40</v>
      </c>
      <c r="H1535">
        <v>1875</v>
      </c>
      <c r="I1535">
        <v>1681.621757620215</v>
      </c>
      <c r="J1535">
        <v>193.37824237978481</v>
      </c>
    </row>
    <row r="1536" spans="1:10" x14ac:dyDescent="0.35">
      <c r="A1536" s="1">
        <v>45584</v>
      </c>
      <c r="B1536" t="s">
        <v>12</v>
      </c>
      <c r="C1536" t="s">
        <v>21</v>
      </c>
      <c r="D1536" t="s">
        <v>30</v>
      </c>
      <c r="E1536">
        <v>5</v>
      </c>
      <c r="F1536">
        <v>1982</v>
      </c>
      <c r="G1536" t="s">
        <v>40</v>
      </c>
      <c r="H1536">
        <v>9910</v>
      </c>
      <c r="I1536">
        <v>6669.2746296193563</v>
      </c>
      <c r="J1536">
        <v>3240.7253703806441</v>
      </c>
    </row>
    <row r="1537" spans="1:10" x14ac:dyDescent="0.35">
      <c r="A1537" s="1">
        <v>45352</v>
      </c>
      <c r="B1537" t="s">
        <v>13</v>
      </c>
      <c r="C1537" t="s">
        <v>17</v>
      </c>
      <c r="D1537" t="s">
        <v>33</v>
      </c>
      <c r="E1537">
        <v>16</v>
      </c>
      <c r="F1537">
        <v>312</v>
      </c>
      <c r="G1537" t="s">
        <v>38</v>
      </c>
      <c r="H1537">
        <v>4992</v>
      </c>
      <c r="I1537">
        <v>4250.4763912918961</v>
      </c>
      <c r="J1537">
        <v>741.52360870810389</v>
      </c>
    </row>
    <row r="1538" spans="1:10" x14ac:dyDescent="0.35">
      <c r="A1538" s="1">
        <v>45489</v>
      </c>
      <c r="B1538" t="s">
        <v>10</v>
      </c>
      <c r="C1538" t="s">
        <v>18</v>
      </c>
      <c r="D1538" t="s">
        <v>31</v>
      </c>
      <c r="E1538">
        <v>15</v>
      </c>
      <c r="F1538">
        <v>535</v>
      </c>
      <c r="G1538" t="s">
        <v>39</v>
      </c>
      <c r="H1538">
        <v>8025</v>
      </c>
      <c r="I1538">
        <v>5947.3046100019455</v>
      </c>
      <c r="J1538">
        <v>2077.695389998054</v>
      </c>
    </row>
    <row r="1539" spans="1:10" x14ac:dyDescent="0.35">
      <c r="A1539" s="1">
        <v>45586</v>
      </c>
      <c r="B1539" t="s">
        <v>11</v>
      </c>
      <c r="C1539" t="s">
        <v>17</v>
      </c>
      <c r="D1539" t="s">
        <v>37</v>
      </c>
      <c r="E1539">
        <v>2</v>
      </c>
      <c r="F1539">
        <v>951</v>
      </c>
      <c r="G1539" t="s">
        <v>38</v>
      </c>
      <c r="H1539">
        <v>1902</v>
      </c>
      <c r="I1539">
        <v>1389.4048597236031</v>
      </c>
      <c r="J1539">
        <v>512.59514027639739</v>
      </c>
    </row>
    <row r="1540" spans="1:10" x14ac:dyDescent="0.35">
      <c r="A1540" s="1">
        <v>45610</v>
      </c>
      <c r="B1540" t="s">
        <v>11</v>
      </c>
      <c r="C1540" t="s">
        <v>17</v>
      </c>
      <c r="D1540" t="s">
        <v>32</v>
      </c>
      <c r="E1540">
        <v>9</v>
      </c>
      <c r="F1540">
        <v>607</v>
      </c>
      <c r="G1540" t="s">
        <v>38</v>
      </c>
      <c r="H1540">
        <v>5463</v>
      </c>
      <c r="I1540">
        <v>3761.2139038507739</v>
      </c>
      <c r="J1540">
        <v>1701.7860961492261</v>
      </c>
    </row>
    <row r="1541" spans="1:10" x14ac:dyDescent="0.35">
      <c r="A1541" s="1">
        <v>45593</v>
      </c>
      <c r="B1541" t="s">
        <v>10</v>
      </c>
      <c r="C1541" t="s">
        <v>22</v>
      </c>
      <c r="D1541" t="s">
        <v>30</v>
      </c>
      <c r="E1541">
        <v>7</v>
      </c>
      <c r="F1541">
        <v>935</v>
      </c>
      <c r="G1541" t="s">
        <v>40</v>
      </c>
      <c r="H1541">
        <v>6545</v>
      </c>
      <c r="I1541">
        <v>5446.4069521980919</v>
      </c>
      <c r="J1541">
        <v>1098.5930478019079</v>
      </c>
    </row>
    <row r="1542" spans="1:10" x14ac:dyDescent="0.35">
      <c r="A1542" s="1">
        <v>45635</v>
      </c>
      <c r="B1542" t="s">
        <v>11</v>
      </c>
      <c r="C1542" t="s">
        <v>19</v>
      </c>
      <c r="D1542" t="s">
        <v>33</v>
      </c>
      <c r="E1542">
        <v>4</v>
      </c>
      <c r="F1542">
        <v>750</v>
      </c>
      <c r="G1542" t="s">
        <v>40</v>
      </c>
      <c r="H1542">
        <v>3000</v>
      </c>
      <c r="I1542">
        <v>2592.594790597399</v>
      </c>
      <c r="J1542">
        <v>407.40520940260058</v>
      </c>
    </row>
    <row r="1543" spans="1:10" x14ac:dyDescent="0.35">
      <c r="A1543" s="1">
        <v>45302</v>
      </c>
      <c r="B1543" t="s">
        <v>12</v>
      </c>
      <c r="C1543" t="s">
        <v>20</v>
      </c>
      <c r="D1543" t="s">
        <v>36</v>
      </c>
      <c r="E1543">
        <v>18</v>
      </c>
      <c r="F1543">
        <v>304</v>
      </c>
      <c r="G1543" t="s">
        <v>38</v>
      </c>
      <c r="H1543">
        <v>5472</v>
      </c>
      <c r="I1543">
        <v>3711.8668408953858</v>
      </c>
      <c r="J1543">
        <v>1760.1331591046139</v>
      </c>
    </row>
    <row r="1544" spans="1:10" x14ac:dyDescent="0.35">
      <c r="A1544" s="1">
        <v>45353</v>
      </c>
      <c r="B1544" t="s">
        <v>12</v>
      </c>
      <c r="C1544" t="s">
        <v>17</v>
      </c>
      <c r="D1544" t="s">
        <v>37</v>
      </c>
      <c r="F1544">
        <v>480</v>
      </c>
      <c r="G1544" t="s">
        <v>38</v>
      </c>
    </row>
    <row r="1545" spans="1:10" x14ac:dyDescent="0.35">
      <c r="A1545" s="1">
        <v>45624</v>
      </c>
      <c r="B1545" t="s">
        <v>11</v>
      </c>
      <c r="C1545" t="s">
        <v>19</v>
      </c>
      <c r="D1545" t="s">
        <v>33</v>
      </c>
      <c r="E1545">
        <v>13</v>
      </c>
      <c r="F1545">
        <v>1196</v>
      </c>
      <c r="G1545" t="s">
        <v>40</v>
      </c>
      <c r="H1545">
        <v>15548</v>
      </c>
      <c r="I1545">
        <v>9967.4475624796396</v>
      </c>
      <c r="J1545">
        <v>5580.5524375203604</v>
      </c>
    </row>
    <row r="1546" spans="1:10" x14ac:dyDescent="0.35">
      <c r="A1546" s="1">
        <v>45517</v>
      </c>
      <c r="B1546" t="s">
        <v>12</v>
      </c>
      <c r="C1546" t="s">
        <v>23</v>
      </c>
      <c r="D1546" t="s">
        <v>35</v>
      </c>
      <c r="E1546">
        <v>1</v>
      </c>
      <c r="F1546">
        <v>1639</v>
      </c>
      <c r="G1546" t="s">
        <v>39</v>
      </c>
      <c r="H1546">
        <v>1639</v>
      </c>
      <c r="I1546">
        <v>1373.2214980445619</v>
      </c>
      <c r="J1546">
        <v>265.7785019554376</v>
      </c>
    </row>
    <row r="1547" spans="1:10" x14ac:dyDescent="0.35">
      <c r="A1547" s="1">
        <v>45444</v>
      </c>
      <c r="B1547" t="s">
        <v>12</v>
      </c>
      <c r="C1547" t="s">
        <v>24</v>
      </c>
      <c r="D1547" t="s">
        <v>34</v>
      </c>
      <c r="E1547">
        <v>3</v>
      </c>
      <c r="F1547">
        <v>1199</v>
      </c>
      <c r="G1547" t="s">
        <v>40</v>
      </c>
      <c r="H1547">
        <v>3597</v>
      </c>
      <c r="I1547">
        <v>2628.5008200050079</v>
      </c>
      <c r="J1547">
        <v>968.49917999499166</v>
      </c>
    </row>
    <row r="1548" spans="1:10" x14ac:dyDescent="0.35">
      <c r="A1548" s="1">
        <v>45490</v>
      </c>
      <c r="B1548" t="s">
        <v>11</v>
      </c>
      <c r="C1548" t="s">
        <v>17</v>
      </c>
      <c r="D1548" t="s">
        <v>32</v>
      </c>
      <c r="E1548">
        <v>16</v>
      </c>
      <c r="F1548">
        <v>1964</v>
      </c>
      <c r="G1548" t="s">
        <v>38</v>
      </c>
      <c r="H1548">
        <v>31424</v>
      </c>
      <c r="I1548">
        <v>20097.98586776957</v>
      </c>
      <c r="J1548">
        <v>11326.01413223043</v>
      </c>
    </row>
    <row r="1549" spans="1:10" x14ac:dyDescent="0.35">
      <c r="A1549" s="1">
        <v>45343</v>
      </c>
      <c r="B1549" t="s">
        <v>13</v>
      </c>
      <c r="C1549" t="s">
        <v>23</v>
      </c>
      <c r="D1549" t="s">
        <v>31</v>
      </c>
      <c r="E1549">
        <v>4</v>
      </c>
      <c r="F1549">
        <v>176</v>
      </c>
      <c r="G1549" t="s">
        <v>39</v>
      </c>
      <c r="H1549">
        <v>704</v>
      </c>
      <c r="I1549">
        <v>494.26886919582472</v>
      </c>
      <c r="J1549">
        <v>209.73113080417531</v>
      </c>
    </row>
    <row r="1550" spans="1:10" x14ac:dyDescent="0.35">
      <c r="A1550" s="1">
        <v>45551</v>
      </c>
      <c r="B1550" t="s">
        <v>10</v>
      </c>
      <c r="C1550" t="s">
        <v>20</v>
      </c>
      <c r="D1550" t="s">
        <v>34</v>
      </c>
      <c r="E1550">
        <v>0</v>
      </c>
      <c r="F1550">
        <v>915</v>
      </c>
      <c r="G1550" t="s">
        <v>38</v>
      </c>
      <c r="H1550">
        <v>0</v>
      </c>
      <c r="I1550">
        <v>0</v>
      </c>
      <c r="J1550">
        <v>0</v>
      </c>
    </row>
    <row r="1551" spans="1:10" x14ac:dyDescent="0.35">
      <c r="A1551" s="1">
        <v>45350</v>
      </c>
      <c r="B1551" t="s">
        <v>12</v>
      </c>
      <c r="C1551" t="s">
        <v>24</v>
      </c>
      <c r="D1551" t="s">
        <v>35</v>
      </c>
      <c r="E1551">
        <v>19</v>
      </c>
      <c r="F1551">
        <v>867</v>
      </c>
      <c r="G1551" t="s">
        <v>40</v>
      </c>
      <c r="H1551">
        <v>16473</v>
      </c>
      <c r="I1551">
        <v>14094.55421639365</v>
      </c>
      <c r="J1551">
        <v>2378.4457836063539</v>
      </c>
    </row>
    <row r="1552" spans="1:10" x14ac:dyDescent="0.35">
      <c r="A1552" s="1">
        <v>45363</v>
      </c>
      <c r="B1552" t="s">
        <v>13</v>
      </c>
      <c r="C1552" t="s">
        <v>24</v>
      </c>
      <c r="D1552" t="s">
        <v>35</v>
      </c>
      <c r="E1552">
        <v>1</v>
      </c>
      <c r="G1552" t="s">
        <v>40</v>
      </c>
    </row>
    <row r="1553" spans="1:10" x14ac:dyDescent="0.35">
      <c r="A1553" s="1">
        <v>45439</v>
      </c>
      <c r="B1553" t="s">
        <v>12</v>
      </c>
      <c r="C1553" t="s">
        <v>20</v>
      </c>
      <c r="D1553" t="s">
        <v>32</v>
      </c>
      <c r="E1553">
        <v>5</v>
      </c>
      <c r="F1553">
        <v>1737</v>
      </c>
      <c r="G1553" t="s">
        <v>38</v>
      </c>
      <c r="H1553">
        <v>8685</v>
      </c>
      <c r="I1553">
        <v>5669.6534632139419</v>
      </c>
      <c r="J1553">
        <v>3015.3465367860581</v>
      </c>
    </row>
    <row r="1554" spans="1:10" x14ac:dyDescent="0.35">
      <c r="A1554" s="1">
        <v>45640</v>
      </c>
      <c r="B1554" t="s">
        <v>12</v>
      </c>
      <c r="C1554" t="s">
        <v>17</v>
      </c>
      <c r="D1554" t="s">
        <v>31</v>
      </c>
      <c r="E1554">
        <v>19</v>
      </c>
      <c r="F1554">
        <v>205</v>
      </c>
      <c r="G1554" t="s">
        <v>38</v>
      </c>
      <c r="H1554">
        <v>3895</v>
      </c>
      <c r="I1554">
        <v>2522.444119390716</v>
      </c>
      <c r="J1554">
        <v>1372.555880609284</v>
      </c>
    </row>
    <row r="1555" spans="1:10" x14ac:dyDescent="0.35">
      <c r="A1555" s="1">
        <v>45354</v>
      </c>
      <c r="B1555" t="s">
        <v>10</v>
      </c>
      <c r="C1555" t="s">
        <v>22</v>
      </c>
      <c r="D1555" t="s">
        <v>36</v>
      </c>
      <c r="E1555">
        <v>11</v>
      </c>
      <c r="F1555">
        <v>1968</v>
      </c>
      <c r="G1555" t="s">
        <v>40</v>
      </c>
      <c r="H1555">
        <v>21648</v>
      </c>
      <c r="I1555">
        <v>15666.663330009051</v>
      </c>
      <c r="J1555">
        <v>5981.3366699909511</v>
      </c>
    </row>
    <row r="1556" spans="1:10" x14ac:dyDescent="0.35">
      <c r="A1556" s="1">
        <v>45601</v>
      </c>
      <c r="B1556" t="s">
        <v>12</v>
      </c>
      <c r="C1556" t="s">
        <v>20</v>
      </c>
      <c r="D1556" t="s">
        <v>37</v>
      </c>
      <c r="E1556">
        <v>13</v>
      </c>
      <c r="F1556">
        <v>650</v>
      </c>
      <c r="G1556" t="s">
        <v>38</v>
      </c>
      <c r="H1556">
        <v>8450</v>
      </c>
      <c r="I1556">
        <v>5260.6138689239524</v>
      </c>
      <c r="J1556">
        <v>3189.3861310760481</v>
      </c>
    </row>
    <row r="1557" spans="1:10" x14ac:dyDescent="0.35">
      <c r="A1557" s="1">
        <v>45534</v>
      </c>
      <c r="B1557" t="s">
        <v>10</v>
      </c>
      <c r="C1557" t="s">
        <v>20</v>
      </c>
      <c r="D1557" t="s">
        <v>30</v>
      </c>
      <c r="E1557">
        <v>5</v>
      </c>
      <c r="F1557">
        <v>1599</v>
      </c>
      <c r="G1557" t="s">
        <v>38</v>
      </c>
      <c r="H1557">
        <v>7995</v>
      </c>
      <c r="I1557">
        <v>6609.2519028883689</v>
      </c>
      <c r="J1557">
        <v>1385.7480971116311</v>
      </c>
    </row>
    <row r="1558" spans="1:10" x14ac:dyDescent="0.35">
      <c r="A1558" s="1">
        <v>45657</v>
      </c>
      <c r="B1558" t="s">
        <v>10</v>
      </c>
      <c r="C1558" t="s">
        <v>20</v>
      </c>
      <c r="D1558" t="s">
        <v>31</v>
      </c>
      <c r="E1558">
        <v>4</v>
      </c>
      <c r="F1558">
        <v>925</v>
      </c>
      <c r="G1558" t="s">
        <v>38</v>
      </c>
      <c r="H1558">
        <v>3700</v>
      </c>
      <c r="I1558">
        <v>2665.6137405371869</v>
      </c>
      <c r="J1558">
        <v>1034.3862594628131</v>
      </c>
    </row>
    <row r="1559" spans="1:10" x14ac:dyDescent="0.35">
      <c r="A1559" s="1">
        <v>45621</v>
      </c>
      <c r="B1559" t="s">
        <v>10</v>
      </c>
      <c r="C1559" t="s">
        <v>24</v>
      </c>
      <c r="D1559" t="s">
        <v>30</v>
      </c>
      <c r="E1559">
        <v>4</v>
      </c>
      <c r="F1559">
        <v>1398</v>
      </c>
      <c r="G1559" t="s">
        <v>40</v>
      </c>
      <c r="H1559">
        <v>5592</v>
      </c>
      <c r="I1559">
        <v>3930.6566812180599</v>
      </c>
      <c r="J1559">
        <v>1661.3433187819401</v>
      </c>
    </row>
    <row r="1560" spans="1:10" x14ac:dyDescent="0.35">
      <c r="A1560" s="1">
        <v>45398</v>
      </c>
      <c r="B1560" t="s">
        <v>13</v>
      </c>
      <c r="C1560" t="s">
        <v>18</v>
      </c>
      <c r="D1560" t="s">
        <v>33</v>
      </c>
      <c r="E1560">
        <v>4</v>
      </c>
      <c r="F1560">
        <v>187</v>
      </c>
      <c r="G1560" t="s">
        <v>39</v>
      </c>
      <c r="H1560">
        <v>748</v>
      </c>
      <c r="I1560">
        <v>563.04390978863819</v>
      </c>
      <c r="J1560">
        <v>184.95609021136181</v>
      </c>
    </row>
    <row r="1561" spans="1:10" x14ac:dyDescent="0.35">
      <c r="A1561" s="1">
        <v>45517</v>
      </c>
      <c r="B1561" t="s">
        <v>11</v>
      </c>
      <c r="C1561" t="s">
        <v>19</v>
      </c>
      <c r="D1561" t="s">
        <v>35</v>
      </c>
      <c r="E1561">
        <v>4</v>
      </c>
      <c r="F1561">
        <v>1846</v>
      </c>
      <c r="G1561" t="s">
        <v>40</v>
      </c>
      <c r="H1561">
        <v>7384</v>
      </c>
      <c r="I1561">
        <v>6000.8811116954603</v>
      </c>
      <c r="J1561">
        <v>1383.11888830454</v>
      </c>
    </row>
    <row r="1562" spans="1:10" x14ac:dyDescent="0.35">
      <c r="A1562" s="1">
        <v>45604</v>
      </c>
      <c r="B1562" t="s">
        <v>13</v>
      </c>
      <c r="C1562" t="s">
        <v>23</v>
      </c>
      <c r="D1562" t="s">
        <v>33</v>
      </c>
      <c r="E1562">
        <v>18</v>
      </c>
      <c r="F1562">
        <v>980</v>
      </c>
      <c r="G1562" t="s">
        <v>39</v>
      </c>
      <c r="H1562">
        <v>17640</v>
      </c>
      <c r="I1562">
        <v>13596.98403025723</v>
      </c>
      <c r="J1562">
        <v>4043.015969742768</v>
      </c>
    </row>
    <row r="1563" spans="1:10" x14ac:dyDescent="0.35">
      <c r="A1563" s="1">
        <v>45509</v>
      </c>
      <c r="B1563" t="s">
        <v>11</v>
      </c>
      <c r="C1563" t="s">
        <v>22</v>
      </c>
      <c r="D1563" t="s">
        <v>36</v>
      </c>
      <c r="E1563">
        <v>18</v>
      </c>
      <c r="F1563">
        <v>1200</v>
      </c>
      <c r="G1563" t="s">
        <v>40</v>
      </c>
      <c r="H1563">
        <v>21600</v>
      </c>
      <c r="I1563">
        <v>18159.570025558482</v>
      </c>
      <c r="J1563">
        <v>3440.4299744415221</v>
      </c>
    </row>
    <row r="1564" spans="1:10" x14ac:dyDescent="0.35">
      <c r="A1564" s="1">
        <v>45532</v>
      </c>
      <c r="B1564" t="s">
        <v>11</v>
      </c>
      <c r="C1564" t="s">
        <v>17</v>
      </c>
      <c r="D1564" t="s">
        <v>33</v>
      </c>
      <c r="E1564">
        <v>16</v>
      </c>
      <c r="F1564">
        <v>1200</v>
      </c>
      <c r="G1564" t="s">
        <v>38</v>
      </c>
      <c r="H1564">
        <v>19200</v>
      </c>
      <c r="I1564">
        <v>15145.128367891881</v>
      </c>
      <c r="J1564">
        <v>4054.8716321081229</v>
      </c>
    </row>
    <row r="1565" spans="1:10" x14ac:dyDescent="0.35">
      <c r="A1565" s="1">
        <v>45550</v>
      </c>
      <c r="B1565" t="s">
        <v>10</v>
      </c>
      <c r="C1565" t="s">
        <v>17</v>
      </c>
      <c r="D1565" t="s">
        <v>31</v>
      </c>
      <c r="E1565">
        <v>9</v>
      </c>
      <c r="F1565">
        <v>1565</v>
      </c>
      <c r="G1565" t="s">
        <v>38</v>
      </c>
      <c r="H1565">
        <v>14085</v>
      </c>
      <c r="I1565">
        <v>11780.568364933621</v>
      </c>
      <c r="J1565">
        <v>2304.4316350663812</v>
      </c>
    </row>
    <row r="1566" spans="1:10" x14ac:dyDescent="0.35">
      <c r="A1566" s="1">
        <v>45553</v>
      </c>
      <c r="B1566" t="s">
        <v>12</v>
      </c>
      <c r="C1566" t="s">
        <v>23</v>
      </c>
      <c r="D1566" t="s">
        <v>33</v>
      </c>
      <c r="E1566">
        <v>18</v>
      </c>
      <c r="F1566">
        <v>639</v>
      </c>
      <c r="G1566" t="s">
        <v>39</v>
      </c>
      <c r="H1566">
        <v>11502</v>
      </c>
      <c r="I1566">
        <v>9305.5169131622679</v>
      </c>
      <c r="J1566">
        <v>2196.4830868377321</v>
      </c>
    </row>
    <row r="1567" spans="1:10" x14ac:dyDescent="0.35">
      <c r="A1567" s="1">
        <v>45296</v>
      </c>
      <c r="B1567" t="s">
        <v>10</v>
      </c>
      <c r="C1567" t="s">
        <v>19</v>
      </c>
      <c r="D1567" t="s">
        <v>36</v>
      </c>
      <c r="E1567">
        <v>2</v>
      </c>
      <c r="F1567">
        <v>344</v>
      </c>
      <c r="G1567" t="s">
        <v>40</v>
      </c>
      <c r="H1567">
        <v>688</v>
      </c>
      <c r="I1567">
        <v>452.6605542304352</v>
      </c>
      <c r="J1567">
        <v>235.3394457695648</v>
      </c>
    </row>
    <row r="1568" spans="1:10" x14ac:dyDescent="0.35">
      <c r="A1568" s="1">
        <v>45552</v>
      </c>
      <c r="B1568" t="s">
        <v>12</v>
      </c>
      <c r="C1568" t="s">
        <v>20</v>
      </c>
      <c r="D1568" t="s">
        <v>36</v>
      </c>
      <c r="E1568">
        <v>4</v>
      </c>
      <c r="F1568">
        <v>677</v>
      </c>
      <c r="G1568" t="s">
        <v>38</v>
      </c>
      <c r="H1568">
        <v>2708</v>
      </c>
      <c r="I1568">
        <v>1667.332755330943</v>
      </c>
      <c r="J1568">
        <v>1040.667244669057</v>
      </c>
    </row>
    <row r="1569" spans="1:10" x14ac:dyDescent="0.35">
      <c r="A1569" s="1">
        <v>45345</v>
      </c>
      <c r="B1569" t="s">
        <v>11</v>
      </c>
      <c r="C1569" t="s">
        <v>18</v>
      </c>
      <c r="D1569" t="s">
        <v>36</v>
      </c>
      <c r="F1569">
        <v>1901</v>
      </c>
      <c r="G1569" t="s">
        <v>39</v>
      </c>
    </row>
    <row r="1570" spans="1:10" x14ac:dyDescent="0.35">
      <c r="A1570" s="1">
        <v>45338</v>
      </c>
      <c r="B1570" t="s">
        <v>10</v>
      </c>
      <c r="C1570" t="s">
        <v>22</v>
      </c>
      <c r="D1570" t="s">
        <v>31</v>
      </c>
      <c r="E1570">
        <v>7</v>
      </c>
      <c r="F1570">
        <v>1505</v>
      </c>
      <c r="G1570" t="s">
        <v>40</v>
      </c>
      <c r="H1570">
        <v>10535</v>
      </c>
      <c r="I1570">
        <v>9309.7463106900777</v>
      </c>
      <c r="J1570">
        <v>1225.253689309922</v>
      </c>
    </row>
    <row r="1571" spans="1:10" x14ac:dyDescent="0.35">
      <c r="A1571" s="1">
        <v>45506</v>
      </c>
      <c r="B1571" t="s">
        <v>12</v>
      </c>
      <c r="C1571" t="s">
        <v>17</v>
      </c>
      <c r="D1571" t="s">
        <v>36</v>
      </c>
      <c r="E1571">
        <v>15</v>
      </c>
      <c r="F1571">
        <v>1081</v>
      </c>
      <c r="G1571" t="s">
        <v>38</v>
      </c>
      <c r="H1571">
        <v>16215</v>
      </c>
      <c r="I1571">
        <v>13265.162156963799</v>
      </c>
      <c r="J1571">
        <v>2949.8378430362031</v>
      </c>
    </row>
    <row r="1572" spans="1:10" x14ac:dyDescent="0.35">
      <c r="A1572" s="1">
        <v>45468</v>
      </c>
      <c r="B1572" t="s">
        <v>13</v>
      </c>
      <c r="C1572" t="s">
        <v>23</v>
      </c>
      <c r="D1572" t="s">
        <v>35</v>
      </c>
      <c r="E1572">
        <v>7</v>
      </c>
      <c r="F1572">
        <v>816</v>
      </c>
      <c r="G1572" t="s">
        <v>39</v>
      </c>
      <c r="H1572">
        <v>5712</v>
      </c>
      <c r="I1572">
        <v>4668.1990977717787</v>
      </c>
      <c r="J1572">
        <v>1043.800902228221</v>
      </c>
    </row>
    <row r="1573" spans="1:10" x14ac:dyDescent="0.35">
      <c r="A1573" s="1">
        <v>45300</v>
      </c>
      <c r="B1573" t="s">
        <v>12</v>
      </c>
      <c r="C1573" t="s">
        <v>21</v>
      </c>
      <c r="D1573" t="s">
        <v>34</v>
      </c>
      <c r="E1573">
        <v>17</v>
      </c>
      <c r="F1573">
        <v>1693</v>
      </c>
      <c r="G1573" t="s">
        <v>40</v>
      </c>
      <c r="H1573">
        <v>28781</v>
      </c>
      <c r="I1573">
        <v>19601.130937110291</v>
      </c>
      <c r="J1573">
        <v>9179.8690628897129</v>
      </c>
    </row>
    <row r="1574" spans="1:10" x14ac:dyDescent="0.35">
      <c r="A1574" s="1">
        <v>45390</v>
      </c>
      <c r="B1574" t="s">
        <v>10</v>
      </c>
      <c r="C1574" t="s">
        <v>18</v>
      </c>
      <c r="D1574" t="s">
        <v>36</v>
      </c>
      <c r="E1574">
        <v>16</v>
      </c>
      <c r="F1574">
        <v>1836</v>
      </c>
      <c r="G1574" t="s">
        <v>39</v>
      </c>
      <c r="H1574">
        <v>29376</v>
      </c>
      <c r="I1574">
        <v>22406.030292033822</v>
      </c>
      <c r="J1574">
        <v>6969.9697079661819</v>
      </c>
    </row>
    <row r="1575" spans="1:10" x14ac:dyDescent="0.35">
      <c r="A1575" s="1">
        <v>45311</v>
      </c>
      <c r="B1575" t="s">
        <v>13</v>
      </c>
      <c r="C1575" t="s">
        <v>23</v>
      </c>
      <c r="D1575" t="s">
        <v>33</v>
      </c>
      <c r="E1575">
        <v>19</v>
      </c>
      <c r="F1575">
        <v>1860</v>
      </c>
      <c r="G1575" t="s">
        <v>39</v>
      </c>
      <c r="H1575">
        <v>35340</v>
      </c>
      <c r="I1575">
        <v>31723.72491459626</v>
      </c>
      <c r="J1575">
        <v>3616.2750854037399</v>
      </c>
    </row>
    <row r="1576" spans="1:10" x14ac:dyDescent="0.35">
      <c r="A1576" s="1">
        <v>45532</v>
      </c>
      <c r="B1576" t="s">
        <v>12</v>
      </c>
      <c r="D1576" t="s">
        <v>37</v>
      </c>
      <c r="E1576">
        <v>9</v>
      </c>
      <c r="F1576">
        <v>241</v>
      </c>
      <c r="G1576" t="s">
        <v>39</v>
      </c>
      <c r="H1576">
        <v>2169</v>
      </c>
      <c r="I1576">
        <v>1858.4926392641621</v>
      </c>
      <c r="J1576">
        <v>310.50736073583829</v>
      </c>
    </row>
    <row r="1577" spans="1:10" x14ac:dyDescent="0.35">
      <c r="A1577" s="1">
        <v>45352</v>
      </c>
      <c r="B1577" t="s">
        <v>12</v>
      </c>
      <c r="C1577" t="s">
        <v>17</v>
      </c>
      <c r="D1577" t="s">
        <v>33</v>
      </c>
      <c r="E1577">
        <v>14</v>
      </c>
      <c r="F1577">
        <v>992</v>
      </c>
      <c r="G1577" t="s">
        <v>38</v>
      </c>
      <c r="H1577">
        <v>13888</v>
      </c>
      <c r="I1577">
        <v>9601.0286304726378</v>
      </c>
      <c r="J1577">
        <v>4286.9713695273622</v>
      </c>
    </row>
    <row r="1578" spans="1:10" x14ac:dyDescent="0.35">
      <c r="A1578" s="1">
        <v>45469</v>
      </c>
      <c r="B1578" t="s">
        <v>12</v>
      </c>
      <c r="C1578" t="s">
        <v>20</v>
      </c>
      <c r="D1578" t="s">
        <v>37</v>
      </c>
      <c r="E1578">
        <v>17</v>
      </c>
      <c r="F1578">
        <v>1491</v>
      </c>
      <c r="G1578" t="s">
        <v>38</v>
      </c>
      <c r="H1578">
        <v>25347</v>
      </c>
      <c r="I1578">
        <v>17497.382867353332</v>
      </c>
      <c r="J1578">
        <v>7849.617132646672</v>
      </c>
    </row>
    <row r="1579" spans="1:10" x14ac:dyDescent="0.35">
      <c r="A1579" s="1">
        <v>45629</v>
      </c>
      <c r="B1579" t="s">
        <v>11</v>
      </c>
      <c r="C1579" t="s">
        <v>21</v>
      </c>
      <c r="D1579" t="s">
        <v>33</v>
      </c>
      <c r="E1579">
        <v>5</v>
      </c>
      <c r="F1579">
        <v>1207</v>
      </c>
      <c r="G1579" t="s">
        <v>40</v>
      </c>
      <c r="H1579">
        <v>6035</v>
      </c>
      <c r="I1579">
        <v>4496.516685623561</v>
      </c>
      <c r="J1579">
        <v>1538.483314376439</v>
      </c>
    </row>
    <row r="1580" spans="1:10" x14ac:dyDescent="0.35">
      <c r="A1580" s="1">
        <v>45353</v>
      </c>
      <c r="B1580" t="s">
        <v>12</v>
      </c>
      <c r="C1580" t="s">
        <v>19</v>
      </c>
      <c r="D1580" t="s">
        <v>31</v>
      </c>
      <c r="E1580">
        <v>2</v>
      </c>
      <c r="F1580">
        <v>1266</v>
      </c>
      <c r="G1580" t="s">
        <v>40</v>
      </c>
      <c r="H1580">
        <v>2532</v>
      </c>
      <c r="I1580">
        <v>1826.5331468210491</v>
      </c>
      <c r="J1580">
        <v>705.46685317895071</v>
      </c>
    </row>
    <row r="1581" spans="1:10" x14ac:dyDescent="0.35">
      <c r="A1581" s="1">
        <v>45436</v>
      </c>
      <c r="B1581" t="s">
        <v>15</v>
      </c>
      <c r="C1581" t="s">
        <v>22</v>
      </c>
      <c r="D1581" t="s">
        <v>33</v>
      </c>
      <c r="E1581">
        <v>16</v>
      </c>
      <c r="F1581">
        <v>451</v>
      </c>
      <c r="G1581" t="s">
        <v>40</v>
      </c>
      <c r="H1581">
        <v>7216</v>
      </c>
      <c r="I1581">
        <v>5133.0721145873213</v>
      </c>
      <c r="J1581">
        <v>2082.9278854126792</v>
      </c>
    </row>
    <row r="1582" spans="1:10" x14ac:dyDescent="0.35">
      <c r="A1582" s="1">
        <v>45507</v>
      </c>
      <c r="B1582" t="s">
        <v>11</v>
      </c>
      <c r="C1582" t="s">
        <v>19</v>
      </c>
      <c r="D1582" t="s">
        <v>31</v>
      </c>
      <c r="E1582">
        <v>14</v>
      </c>
      <c r="F1582">
        <v>644</v>
      </c>
      <c r="G1582" t="s">
        <v>40</v>
      </c>
      <c r="H1582">
        <v>9016</v>
      </c>
      <c r="I1582">
        <v>7105.4336189387477</v>
      </c>
      <c r="J1582">
        <v>1910.5663810612521</v>
      </c>
    </row>
    <row r="1583" spans="1:10" x14ac:dyDescent="0.35">
      <c r="A1583" s="1">
        <v>45294</v>
      </c>
      <c r="B1583" t="s">
        <v>13</v>
      </c>
      <c r="C1583" t="s">
        <v>19</v>
      </c>
      <c r="D1583" t="s">
        <v>31</v>
      </c>
      <c r="E1583">
        <v>14</v>
      </c>
      <c r="F1583">
        <v>1012</v>
      </c>
      <c r="G1583" t="s">
        <v>40</v>
      </c>
      <c r="H1583">
        <v>14168</v>
      </c>
      <c r="I1583">
        <v>8549.6475929303888</v>
      </c>
      <c r="J1583">
        <v>5618.3524070696112</v>
      </c>
    </row>
    <row r="1584" spans="1:10" x14ac:dyDescent="0.35">
      <c r="A1584" s="1">
        <v>45451</v>
      </c>
      <c r="B1584" t="s">
        <v>13</v>
      </c>
      <c r="C1584" t="s">
        <v>23</v>
      </c>
      <c r="D1584" t="s">
        <v>36</v>
      </c>
      <c r="E1584">
        <v>1</v>
      </c>
      <c r="F1584">
        <v>251</v>
      </c>
      <c r="G1584" t="s">
        <v>39</v>
      </c>
      <c r="H1584">
        <v>251</v>
      </c>
      <c r="I1584">
        <v>208.07947459330569</v>
      </c>
      <c r="J1584">
        <v>42.920525406694281</v>
      </c>
    </row>
    <row r="1585" spans="1:10" x14ac:dyDescent="0.35">
      <c r="A1585" s="1">
        <v>45518</v>
      </c>
      <c r="B1585" t="s">
        <v>13</v>
      </c>
      <c r="C1585" t="s">
        <v>18</v>
      </c>
      <c r="D1585" t="s">
        <v>35</v>
      </c>
      <c r="E1585">
        <v>3</v>
      </c>
      <c r="F1585">
        <v>1281</v>
      </c>
      <c r="G1585" t="s">
        <v>39</v>
      </c>
      <c r="H1585">
        <v>3843</v>
      </c>
      <c r="I1585">
        <v>3159.0070998675128</v>
      </c>
      <c r="J1585">
        <v>683.99290013248719</v>
      </c>
    </row>
    <row r="1586" spans="1:10" x14ac:dyDescent="0.35">
      <c r="A1586" s="1">
        <v>45560</v>
      </c>
      <c r="B1586" t="s">
        <v>11</v>
      </c>
      <c r="C1586" t="s">
        <v>22</v>
      </c>
      <c r="D1586" t="s">
        <v>37</v>
      </c>
      <c r="E1586">
        <v>7</v>
      </c>
      <c r="F1586">
        <v>1569</v>
      </c>
      <c r="G1586" t="s">
        <v>40</v>
      </c>
      <c r="H1586">
        <v>10983</v>
      </c>
      <c r="I1586">
        <v>9325.6400849914808</v>
      </c>
      <c r="J1586">
        <v>1657.359915008519</v>
      </c>
    </row>
    <row r="1587" spans="1:10" x14ac:dyDescent="0.35">
      <c r="A1587" s="1">
        <v>45411</v>
      </c>
      <c r="B1587" t="s">
        <v>50</v>
      </c>
      <c r="C1587" t="s">
        <v>22</v>
      </c>
      <c r="D1587" t="s">
        <v>36</v>
      </c>
      <c r="E1587">
        <v>15</v>
      </c>
      <c r="F1587">
        <v>752</v>
      </c>
      <c r="G1587" t="s">
        <v>40</v>
      </c>
      <c r="H1587">
        <v>11280</v>
      </c>
      <c r="I1587">
        <v>9615.4690784702561</v>
      </c>
      <c r="J1587">
        <v>1664.5309215297441</v>
      </c>
    </row>
    <row r="1588" spans="1:10" x14ac:dyDescent="0.35">
      <c r="A1588" s="1">
        <v>45380</v>
      </c>
      <c r="B1588" t="s">
        <v>11</v>
      </c>
      <c r="C1588" t="s">
        <v>17</v>
      </c>
      <c r="D1588" t="s">
        <v>36</v>
      </c>
      <c r="E1588">
        <v>19</v>
      </c>
      <c r="F1588">
        <v>1057</v>
      </c>
      <c r="G1588" t="s">
        <v>38</v>
      </c>
      <c r="H1588">
        <v>20083</v>
      </c>
      <c r="I1588">
        <v>15462.30152096235</v>
      </c>
      <c r="J1588">
        <v>4620.6984790376537</v>
      </c>
    </row>
    <row r="1589" spans="1:10" x14ac:dyDescent="0.35">
      <c r="A1589" s="1">
        <v>45620</v>
      </c>
      <c r="B1589" t="s">
        <v>13</v>
      </c>
      <c r="C1589" t="s">
        <v>17</v>
      </c>
      <c r="D1589" t="s">
        <v>34</v>
      </c>
      <c r="E1589">
        <v>2</v>
      </c>
      <c r="F1589">
        <v>862</v>
      </c>
      <c r="G1589" t="s">
        <v>38</v>
      </c>
      <c r="H1589">
        <v>1724</v>
      </c>
      <c r="I1589">
        <v>1437.854239504366</v>
      </c>
      <c r="J1589">
        <v>286.14576049563402</v>
      </c>
    </row>
    <row r="1590" spans="1:10" x14ac:dyDescent="0.35">
      <c r="A1590" s="1">
        <v>45359</v>
      </c>
      <c r="B1590" t="s">
        <v>12</v>
      </c>
      <c r="C1590" t="s">
        <v>22</v>
      </c>
      <c r="D1590" t="s">
        <v>31</v>
      </c>
      <c r="E1590">
        <v>19</v>
      </c>
      <c r="F1590">
        <v>1426</v>
      </c>
      <c r="G1590" t="s">
        <v>40</v>
      </c>
      <c r="H1590">
        <v>27094</v>
      </c>
      <c r="I1590">
        <v>20258.686058930751</v>
      </c>
      <c r="J1590">
        <v>6835.3139410692456</v>
      </c>
    </row>
    <row r="1591" spans="1:10" x14ac:dyDescent="0.35">
      <c r="A1591" s="1">
        <v>45648</v>
      </c>
      <c r="B1591" t="s">
        <v>12</v>
      </c>
      <c r="C1591" t="s">
        <v>21</v>
      </c>
      <c r="D1591" t="s">
        <v>31</v>
      </c>
      <c r="E1591">
        <v>9</v>
      </c>
      <c r="F1591">
        <v>723</v>
      </c>
      <c r="G1591" t="s">
        <v>40</v>
      </c>
      <c r="H1591">
        <v>6507</v>
      </c>
      <c r="I1591">
        <v>5761.6813936721646</v>
      </c>
      <c r="J1591">
        <v>745.31860632783537</v>
      </c>
    </row>
    <row r="1592" spans="1:10" x14ac:dyDescent="0.35">
      <c r="A1592" s="1">
        <v>45389</v>
      </c>
      <c r="B1592" t="s">
        <v>13</v>
      </c>
      <c r="C1592" t="s">
        <v>24</v>
      </c>
      <c r="D1592" t="s">
        <v>37</v>
      </c>
      <c r="E1592">
        <v>19</v>
      </c>
      <c r="F1592">
        <v>755</v>
      </c>
      <c r="G1592" t="s">
        <v>40</v>
      </c>
      <c r="H1592">
        <v>14345</v>
      </c>
      <c r="I1592">
        <v>9427.6711229402263</v>
      </c>
      <c r="J1592">
        <v>4917.3288770597737</v>
      </c>
    </row>
    <row r="1593" spans="1:10" x14ac:dyDescent="0.35">
      <c r="A1593" s="1">
        <v>45558</v>
      </c>
      <c r="B1593" t="s">
        <v>12</v>
      </c>
      <c r="C1593" t="s">
        <v>17</v>
      </c>
      <c r="D1593" t="s">
        <v>33</v>
      </c>
      <c r="E1593">
        <v>5</v>
      </c>
      <c r="F1593">
        <v>549</v>
      </c>
      <c r="G1593" t="s">
        <v>38</v>
      </c>
      <c r="H1593">
        <v>2745</v>
      </c>
      <c r="I1593">
        <v>2401.010675322857</v>
      </c>
      <c r="J1593">
        <v>343.98932467714349</v>
      </c>
    </row>
    <row r="1594" spans="1:10" x14ac:dyDescent="0.35">
      <c r="A1594" s="1">
        <v>45396</v>
      </c>
      <c r="B1594" t="s">
        <v>13</v>
      </c>
      <c r="C1594" t="s">
        <v>24</v>
      </c>
      <c r="D1594" t="s">
        <v>33</v>
      </c>
      <c r="E1594">
        <v>18</v>
      </c>
      <c r="F1594">
        <v>820</v>
      </c>
      <c r="G1594" t="s">
        <v>40</v>
      </c>
      <c r="H1594">
        <v>14760</v>
      </c>
      <c r="I1594">
        <v>10000.772439693479</v>
      </c>
      <c r="J1594">
        <v>4759.2275603065209</v>
      </c>
    </row>
    <row r="1595" spans="1:10" x14ac:dyDescent="0.35">
      <c r="A1595" s="1">
        <v>45614</v>
      </c>
      <c r="B1595" t="s">
        <v>12</v>
      </c>
      <c r="C1595" t="s">
        <v>23</v>
      </c>
      <c r="D1595" t="s">
        <v>30</v>
      </c>
      <c r="E1595">
        <v>16</v>
      </c>
      <c r="F1595">
        <v>1347</v>
      </c>
      <c r="G1595" t="s">
        <v>39</v>
      </c>
      <c r="H1595">
        <v>21552</v>
      </c>
      <c r="I1595">
        <v>13595.36824490971</v>
      </c>
      <c r="J1595">
        <v>7956.6317550902913</v>
      </c>
    </row>
    <row r="1596" spans="1:10" x14ac:dyDescent="0.35">
      <c r="A1596" s="1">
        <v>45414</v>
      </c>
      <c r="B1596" t="s">
        <v>50</v>
      </c>
      <c r="C1596" t="s">
        <v>21</v>
      </c>
      <c r="D1596" t="s">
        <v>36</v>
      </c>
      <c r="E1596">
        <v>4</v>
      </c>
      <c r="F1596">
        <v>142</v>
      </c>
      <c r="G1596" t="s">
        <v>40</v>
      </c>
      <c r="H1596">
        <v>568</v>
      </c>
      <c r="I1596">
        <v>415.62339783814718</v>
      </c>
      <c r="J1596">
        <v>152.37660216185279</v>
      </c>
    </row>
    <row r="1597" spans="1:10" x14ac:dyDescent="0.35">
      <c r="A1597" s="1">
        <v>45320</v>
      </c>
      <c r="B1597" t="s">
        <v>10</v>
      </c>
      <c r="C1597" t="s">
        <v>22</v>
      </c>
      <c r="D1597" t="s">
        <v>30</v>
      </c>
      <c r="E1597">
        <v>12</v>
      </c>
      <c r="F1597">
        <v>363</v>
      </c>
      <c r="G1597" t="s">
        <v>40</v>
      </c>
      <c r="H1597">
        <v>4356</v>
      </c>
      <c r="I1597">
        <v>3417.1738523893059</v>
      </c>
      <c r="J1597">
        <v>938.82614761069362</v>
      </c>
    </row>
    <row r="1598" spans="1:10" x14ac:dyDescent="0.35">
      <c r="A1598" s="1">
        <v>45428</v>
      </c>
      <c r="B1598" t="s">
        <v>10</v>
      </c>
      <c r="C1598" t="s">
        <v>21</v>
      </c>
      <c r="D1598" t="s">
        <v>32</v>
      </c>
      <c r="E1598">
        <v>7</v>
      </c>
      <c r="F1598">
        <v>1879</v>
      </c>
      <c r="G1598" t="s">
        <v>40</v>
      </c>
      <c r="H1598">
        <v>13153</v>
      </c>
      <c r="I1598">
        <v>8803.2629406596916</v>
      </c>
      <c r="J1598">
        <v>4349.7370593403084</v>
      </c>
    </row>
    <row r="1599" spans="1:10" x14ac:dyDescent="0.35">
      <c r="A1599" s="1">
        <v>45486</v>
      </c>
      <c r="B1599" t="s">
        <v>11</v>
      </c>
      <c r="C1599" t="s">
        <v>17</v>
      </c>
      <c r="D1599" t="s">
        <v>32</v>
      </c>
      <c r="E1599">
        <v>14</v>
      </c>
      <c r="F1599">
        <v>1126</v>
      </c>
      <c r="G1599" t="s">
        <v>38</v>
      </c>
      <c r="H1599">
        <v>15764</v>
      </c>
      <c r="I1599">
        <v>12086.87158361961</v>
      </c>
      <c r="J1599">
        <v>3677.1284163803871</v>
      </c>
    </row>
    <row r="1600" spans="1:10" x14ac:dyDescent="0.35">
      <c r="A1600" s="1">
        <v>45517</v>
      </c>
      <c r="B1600" t="s">
        <v>11</v>
      </c>
      <c r="C1600" t="s">
        <v>19</v>
      </c>
      <c r="D1600" t="s">
        <v>30</v>
      </c>
      <c r="E1600">
        <v>12</v>
      </c>
      <c r="F1600">
        <v>1760</v>
      </c>
      <c r="G1600" t="s">
        <v>40</v>
      </c>
      <c r="H1600">
        <v>21120</v>
      </c>
      <c r="I1600">
        <v>17790.812309537021</v>
      </c>
      <c r="J1600">
        <v>3329.1876904629789</v>
      </c>
    </row>
    <row r="1601" spans="1:10" x14ac:dyDescent="0.35">
      <c r="A1601" s="1">
        <v>45623</v>
      </c>
      <c r="B1601" t="s">
        <v>13</v>
      </c>
      <c r="C1601" t="s">
        <v>23</v>
      </c>
      <c r="D1601" t="s">
        <v>33</v>
      </c>
      <c r="E1601">
        <v>3</v>
      </c>
      <c r="F1601">
        <v>1391</v>
      </c>
      <c r="G1601" t="s">
        <v>39</v>
      </c>
      <c r="H1601">
        <v>4173</v>
      </c>
      <c r="I1601">
        <v>2825.6446686896811</v>
      </c>
      <c r="J1601">
        <v>1347.3553313103189</v>
      </c>
    </row>
    <row r="1602" spans="1:10" x14ac:dyDescent="0.35">
      <c r="A1602" s="1">
        <v>45461</v>
      </c>
      <c r="B1602" t="s">
        <v>13</v>
      </c>
      <c r="C1602" t="s">
        <v>22</v>
      </c>
      <c r="D1602" t="s">
        <v>32</v>
      </c>
      <c r="E1602">
        <v>5</v>
      </c>
      <c r="F1602">
        <v>695</v>
      </c>
      <c r="G1602" t="s">
        <v>40</v>
      </c>
      <c r="H1602">
        <v>3475</v>
      </c>
      <c r="I1602">
        <v>2689.9859413655572</v>
      </c>
      <c r="J1602">
        <v>785.01405863444324</v>
      </c>
    </row>
    <row r="1603" spans="1:10" x14ac:dyDescent="0.35">
      <c r="A1603" s="1">
        <v>45300</v>
      </c>
      <c r="B1603" t="s">
        <v>13</v>
      </c>
      <c r="C1603" t="s">
        <v>20</v>
      </c>
      <c r="D1603" t="s">
        <v>34</v>
      </c>
      <c r="E1603">
        <v>17</v>
      </c>
      <c r="F1603">
        <v>1139</v>
      </c>
      <c r="G1603" t="s">
        <v>38</v>
      </c>
      <c r="H1603">
        <v>19363</v>
      </c>
      <c r="I1603">
        <v>13588.832940025981</v>
      </c>
      <c r="J1603">
        <v>5774.1670599740173</v>
      </c>
    </row>
    <row r="1604" spans="1:10" x14ac:dyDescent="0.35">
      <c r="A1604" s="1">
        <v>45331</v>
      </c>
      <c r="B1604" t="s">
        <v>12</v>
      </c>
      <c r="C1604" t="s">
        <v>23</v>
      </c>
      <c r="D1604" t="s">
        <v>33</v>
      </c>
      <c r="E1604">
        <v>10</v>
      </c>
      <c r="F1604">
        <v>1457</v>
      </c>
      <c r="G1604" t="s">
        <v>39</v>
      </c>
      <c r="H1604">
        <v>14570</v>
      </c>
      <c r="I1604">
        <v>11057.61797157573</v>
      </c>
      <c r="J1604">
        <v>3512.3820284242702</v>
      </c>
    </row>
    <row r="1605" spans="1:10" x14ac:dyDescent="0.35">
      <c r="A1605" s="1">
        <v>45316</v>
      </c>
      <c r="B1605" t="s">
        <v>13</v>
      </c>
      <c r="C1605" t="s">
        <v>18</v>
      </c>
      <c r="D1605" t="s">
        <v>31</v>
      </c>
      <c r="E1605">
        <v>10</v>
      </c>
      <c r="F1605">
        <v>1587</v>
      </c>
      <c r="G1605" t="s">
        <v>39</v>
      </c>
      <c r="H1605">
        <v>15870</v>
      </c>
      <c r="I1605">
        <v>12697.20145219643</v>
      </c>
      <c r="J1605">
        <v>3172.7985478035698</v>
      </c>
    </row>
    <row r="1606" spans="1:10" x14ac:dyDescent="0.35">
      <c r="A1606" s="1">
        <v>45552</v>
      </c>
      <c r="B1606" t="s">
        <v>11</v>
      </c>
      <c r="C1606" t="s">
        <v>24</v>
      </c>
      <c r="D1606" t="s">
        <v>36</v>
      </c>
      <c r="E1606">
        <v>11</v>
      </c>
      <c r="F1606">
        <v>1182</v>
      </c>
      <c r="G1606" t="s">
        <v>40</v>
      </c>
      <c r="H1606">
        <v>13002</v>
      </c>
      <c r="I1606">
        <v>9168.0582836258509</v>
      </c>
      <c r="J1606">
        <v>3833.9417163741491</v>
      </c>
    </row>
    <row r="1607" spans="1:10" x14ac:dyDescent="0.35">
      <c r="A1607" s="1">
        <v>45517</v>
      </c>
      <c r="B1607" t="s">
        <v>10</v>
      </c>
      <c r="C1607" t="s">
        <v>21</v>
      </c>
      <c r="D1607" t="s">
        <v>35</v>
      </c>
      <c r="E1607">
        <v>17</v>
      </c>
      <c r="F1607">
        <v>1112</v>
      </c>
      <c r="G1607" t="s">
        <v>40</v>
      </c>
      <c r="H1607">
        <v>18904</v>
      </c>
      <c r="I1607">
        <v>16982.311322962541</v>
      </c>
      <c r="J1607">
        <v>1921.688677037459</v>
      </c>
    </row>
    <row r="1608" spans="1:10" x14ac:dyDescent="0.35">
      <c r="A1608" s="1">
        <v>45415</v>
      </c>
      <c r="B1608" t="s">
        <v>12</v>
      </c>
      <c r="C1608" t="s">
        <v>22</v>
      </c>
      <c r="D1608" t="s">
        <v>36</v>
      </c>
      <c r="E1608">
        <v>5</v>
      </c>
      <c r="F1608">
        <v>276</v>
      </c>
      <c r="G1608" t="s">
        <v>40</v>
      </c>
      <c r="H1608">
        <v>1380</v>
      </c>
      <c r="I1608">
        <v>1061.402932149871</v>
      </c>
      <c r="J1608">
        <v>318.59706785012872</v>
      </c>
    </row>
    <row r="1609" spans="1:10" x14ac:dyDescent="0.35">
      <c r="A1609" s="1">
        <v>45329</v>
      </c>
      <c r="B1609" t="s">
        <v>13</v>
      </c>
      <c r="C1609" t="s">
        <v>23</v>
      </c>
      <c r="D1609" t="s">
        <v>30</v>
      </c>
      <c r="E1609">
        <v>13</v>
      </c>
      <c r="F1609">
        <v>162</v>
      </c>
      <c r="G1609" t="s">
        <v>39</v>
      </c>
      <c r="H1609">
        <v>2106</v>
      </c>
      <c r="I1609">
        <v>1784.4948130349189</v>
      </c>
      <c r="J1609">
        <v>321.50518696508112</v>
      </c>
    </row>
    <row r="1610" spans="1:10" x14ac:dyDescent="0.35">
      <c r="A1610" s="1">
        <v>45619</v>
      </c>
      <c r="B1610" t="s">
        <v>15</v>
      </c>
      <c r="C1610" t="s">
        <v>21</v>
      </c>
      <c r="D1610" t="s">
        <v>33</v>
      </c>
      <c r="E1610">
        <v>10</v>
      </c>
      <c r="F1610">
        <v>1057</v>
      </c>
      <c r="G1610" t="s">
        <v>40</v>
      </c>
      <c r="H1610">
        <v>10570</v>
      </c>
      <c r="I1610">
        <v>8641.4037918501199</v>
      </c>
      <c r="J1610">
        <v>1928.5962081498801</v>
      </c>
    </row>
    <row r="1611" spans="1:10" x14ac:dyDescent="0.35">
      <c r="A1611" s="1">
        <v>45542</v>
      </c>
      <c r="B1611" t="s">
        <v>50</v>
      </c>
      <c r="C1611" t="s">
        <v>22</v>
      </c>
      <c r="D1611" t="s">
        <v>30</v>
      </c>
      <c r="E1611">
        <v>9</v>
      </c>
      <c r="F1611">
        <v>1102</v>
      </c>
      <c r="G1611" t="s">
        <v>40</v>
      </c>
      <c r="H1611">
        <v>9918</v>
      </c>
      <c r="I1611">
        <v>8488.2369303917512</v>
      </c>
      <c r="J1611">
        <v>1429.763069608249</v>
      </c>
    </row>
    <row r="1612" spans="1:10" x14ac:dyDescent="0.35">
      <c r="A1612" s="1">
        <v>45467</v>
      </c>
      <c r="B1612" t="s">
        <v>13</v>
      </c>
      <c r="D1612" t="s">
        <v>34</v>
      </c>
      <c r="E1612">
        <v>17</v>
      </c>
      <c r="F1612">
        <v>660</v>
      </c>
      <c r="G1612" t="s">
        <v>38</v>
      </c>
      <c r="H1612">
        <v>11220</v>
      </c>
      <c r="I1612">
        <v>7317.0140129768197</v>
      </c>
      <c r="J1612">
        <v>3902.9859870231799</v>
      </c>
    </row>
    <row r="1613" spans="1:10" x14ac:dyDescent="0.35">
      <c r="A1613" s="1">
        <v>45381</v>
      </c>
      <c r="B1613" t="s">
        <v>12</v>
      </c>
      <c r="C1613" t="s">
        <v>23</v>
      </c>
      <c r="D1613" t="s">
        <v>33</v>
      </c>
      <c r="E1613">
        <v>1</v>
      </c>
      <c r="F1613">
        <v>1430</v>
      </c>
      <c r="G1613" t="s">
        <v>39</v>
      </c>
      <c r="H1613">
        <v>1430</v>
      </c>
      <c r="I1613">
        <v>953.47554147317078</v>
      </c>
      <c r="J1613">
        <v>476.52445852682922</v>
      </c>
    </row>
    <row r="1614" spans="1:10" x14ac:dyDescent="0.35">
      <c r="A1614" s="1">
        <v>45328</v>
      </c>
      <c r="B1614" t="s">
        <v>10</v>
      </c>
      <c r="C1614" t="s">
        <v>17</v>
      </c>
      <c r="D1614" t="s">
        <v>36</v>
      </c>
      <c r="E1614">
        <v>4</v>
      </c>
      <c r="F1614">
        <v>1369</v>
      </c>
      <c r="G1614" t="s">
        <v>38</v>
      </c>
      <c r="H1614">
        <v>5476</v>
      </c>
      <c r="I1614">
        <v>4086.3190830381691</v>
      </c>
      <c r="J1614">
        <v>1389.6809169618309</v>
      </c>
    </row>
    <row r="1615" spans="1:10" x14ac:dyDescent="0.35">
      <c r="A1615" s="1">
        <v>45607</v>
      </c>
      <c r="B1615" t="s">
        <v>11</v>
      </c>
      <c r="C1615" t="s">
        <v>23</v>
      </c>
      <c r="D1615" t="s">
        <v>34</v>
      </c>
      <c r="E1615">
        <v>4</v>
      </c>
      <c r="F1615">
        <v>1412</v>
      </c>
      <c r="G1615" t="s">
        <v>39</v>
      </c>
      <c r="H1615">
        <v>5648</v>
      </c>
      <c r="I1615">
        <v>4832.9857094369336</v>
      </c>
      <c r="J1615">
        <v>815.01429056306642</v>
      </c>
    </row>
    <row r="1616" spans="1:10" x14ac:dyDescent="0.35">
      <c r="A1616" s="1">
        <v>45467</v>
      </c>
      <c r="B1616" t="s">
        <v>11</v>
      </c>
      <c r="C1616" t="s">
        <v>17</v>
      </c>
      <c r="D1616" t="s">
        <v>34</v>
      </c>
      <c r="E1616">
        <v>18</v>
      </c>
      <c r="F1616">
        <v>1921</v>
      </c>
      <c r="G1616" t="s">
        <v>38</v>
      </c>
      <c r="H1616">
        <v>34578</v>
      </c>
      <c r="I1616">
        <v>22796.65211139993</v>
      </c>
      <c r="J1616">
        <v>11781.34788860007</v>
      </c>
    </row>
    <row r="1617" spans="1:10" x14ac:dyDescent="0.35">
      <c r="A1617" s="1">
        <v>45575</v>
      </c>
      <c r="B1617" t="s">
        <v>50</v>
      </c>
      <c r="C1617" t="s">
        <v>18</v>
      </c>
      <c r="D1617" t="s">
        <v>34</v>
      </c>
      <c r="E1617">
        <v>9</v>
      </c>
      <c r="G1617" t="s">
        <v>39</v>
      </c>
    </row>
    <row r="1618" spans="1:10" x14ac:dyDescent="0.35">
      <c r="A1618" s="1">
        <v>45372</v>
      </c>
      <c r="B1618" t="s">
        <v>12</v>
      </c>
      <c r="C1618" t="s">
        <v>21</v>
      </c>
      <c r="D1618" t="s">
        <v>37</v>
      </c>
      <c r="E1618">
        <v>18</v>
      </c>
      <c r="F1618">
        <v>1455</v>
      </c>
      <c r="G1618" t="s">
        <v>40</v>
      </c>
      <c r="H1618">
        <v>26190</v>
      </c>
      <c r="I1618">
        <v>16716.571336432069</v>
      </c>
      <c r="J1618">
        <v>9473.4286635679346</v>
      </c>
    </row>
    <row r="1619" spans="1:10" x14ac:dyDescent="0.35">
      <c r="A1619" s="1">
        <v>45405</v>
      </c>
      <c r="B1619" t="s">
        <v>13</v>
      </c>
      <c r="C1619" t="s">
        <v>20</v>
      </c>
      <c r="D1619" t="s">
        <v>33</v>
      </c>
      <c r="E1619">
        <v>14</v>
      </c>
      <c r="F1619">
        <v>1650</v>
      </c>
      <c r="G1619" t="s">
        <v>38</v>
      </c>
      <c r="H1619">
        <v>23100</v>
      </c>
      <c r="I1619">
        <v>15073.29016010092</v>
      </c>
      <c r="J1619">
        <v>8026.7098398990802</v>
      </c>
    </row>
    <row r="1620" spans="1:10" x14ac:dyDescent="0.35">
      <c r="A1620" s="1">
        <v>45331</v>
      </c>
      <c r="B1620" t="s">
        <v>12</v>
      </c>
      <c r="C1620" t="s">
        <v>23</v>
      </c>
      <c r="D1620" t="s">
        <v>32</v>
      </c>
      <c r="E1620">
        <v>15</v>
      </c>
      <c r="F1620">
        <v>949</v>
      </c>
      <c r="G1620" t="s">
        <v>39</v>
      </c>
      <c r="H1620">
        <v>14235</v>
      </c>
      <c r="I1620">
        <v>9255.1718718648244</v>
      </c>
      <c r="J1620">
        <v>4979.8281281351756</v>
      </c>
    </row>
    <row r="1621" spans="1:10" x14ac:dyDescent="0.35">
      <c r="A1621" s="1">
        <v>45592</v>
      </c>
      <c r="B1621" t="s">
        <v>10</v>
      </c>
      <c r="C1621" t="s">
        <v>18</v>
      </c>
      <c r="D1621" t="s">
        <v>32</v>
      </c>
      <c r="F1621">
        <v>1378</v>
      </c>
      <c r="G1621" t="s">
        <v>39</v>
      </c>
    </row>
    <row r="1622" spans="1:10" x14ac:dyDescent="0.35">
      <c r="A1622" s="1">
        <v>45515</v>
      </c>
      <c r="B1622" t="s">
        <v>12</v>
      </c>
      <c r="C1622" t="s">
        <v>23</v>
      </c>
      <c r="D1622" t="s">
        <v>33</v>
      </c>
      <c r="E1622">
        <v>10</v>
      </c>
      <c r="F1622">
        <v>703</v>
      </c>
      <c r="G1622" t="s">
        <v>39</v>
      </c>
      <c r="H1622">
        <v>7030</v>
      </c>
      <c r="I1622">
        <v>6153.0941410873047</v>
      </c>
      <c r="J1622">
        <v>876.90585891269529</v>
      </c>
    </row>
    <row r="1623" spans="1:10" x14ac:dyDescent="0.35">
      <c r="A1623" s="1">
        <v>45609</v>
      </c>
      <c r="B1623" t="s">
        <v>11</v>
      </c>
      <c r="C1623" t="s">
        <v>17</v>
      </c>
      <c r="D1623" t="s">
        <v>33</v>
      </c>
      <c r="E1623">
        <v>15</v>
      </c>
      <c r="F1623">
        <v>1633</v>
      </c>
      <c r="G1623" t="s">
        <v>38</v>
      </c>
      <c r="H1623">
        <v>24495</v>
      </c>
      <c r="I1623">
        <v>16571.686028592569</v>
      </c>
      <c r="J1623">
        <v>7923.3139714074277</v>
      </c>
    </row>
    <row r="1624" spans="1:10" x14ac:dyDescent="0.35">
      <c r="A1624" s="1">
        <v>45640</v>
      </c>
      <c r="B1624" t="s">
        <v>12</v>
      </c>
      <c r="C1624" t="s">
        <v>22</v>
      </c>
      <c r="D1624" t="s">
        <v>37</v>
      </c>
      <c r="E1624">
        <v>4</v>
      </c>
      <c r="F1624">
        <v>1914</v>
      </c>
      <c r="G1624" t="s">
        <v>40</v>
      </c>
      <c r="H1624">
        <v>7656</v>
      </c>
      <c r="I1624">
        <v>5863.8150450236226</v>
      </c>
      <c r="J1624">
        <v>1792.184954976377</v>
      </c>
    </row>
    <row r="1625" spans="1:10" x14ac:dyDescent="0.35">
      <c r="A1625" s="1">
        <v>45406</v>
      </c>
      <c r="B1625" t="s">
        <v>10</v>
      </c>
      <c r="C1625" t="s">
        <v>23</v>
      </c>
      <c r="D1625" t="s">
        <v>32</v>
      </c>
      <c r="E1625">
        <v>18</v>
      </c>
      <c r="F1625">
        <v>1841</v>
      </c>
      <c r="G1625" t="s">
        <v>39</v>
      </c>
      <c r="H1625">
        <v>33138</v>
      </c>
      <c r="I1625">
        <v>21630.224831385829</v>
      </c>
      <c r="J1625">
        <v>11507.775168614169</v>
      </c>
    </row>
    <row r="1626" spans="1:10" x14ac:dyDescent="0.35">
      <c r="A1626" s="1">
        <v>45477</v>
      </c>
      <c r="B1626" t="s">
        <v>11</v>
      </c>
      <c r="C1626" t="s">
        <v>18</v>
      </c>
      <c r="D1626" t="s">
        <v>33</v>
      </c>
      <c r="E1626">
        <v>18</v>
      </c>
      <c r="F1626">
        <v>705</v>
      </c>
      <c r="G1626" t="s">
        <v>39</v>
      </c>
      <c r="H1626">
        <v>12690</v>
      </c>
      <c r="I1626">
        <v>10016.73816386309</v>
      </c>
      <c r="J1626">
        <v>2673.2618361369109</v>
      </c>
    </row>
    <row r="1627" spans="1:10" x14ac:dyDescent="0.35">
      <c r="A1627" s="1">
        <v>45614</v>
      </c>
      <c r="B1627" t="s">
        <v>12</v>
      </c>
      <c r="C1627" t="s">
        <v>17</v>
      </c>
      <c r="D1627" t="s">
        <v>33</v>
      </c>
      <c r="E1627">
        <v>17</v>
      </c>
      <c r="F1627">
        <v>1860</v>
      </c>
      <c r="G1627" t="s">
        <v>38</v>
      </c>
      <c r="H1627">
        <v>31620</v>
      </c>
      <c r="I1627">
        <v>20141.114744998849</v>
      </c>
      <c r="J1627">
        <v>11478.885255001151</v>
      </c>
    </row>
    <row r="1628" spans="1:10" x14ac:dyDescent="0.35">
      <c r="A1628" s="1">
        <v>45347</v>
      </c>
      <c r="B1628" t="s">
        <v>12</v>
      </c>
      <c r="C1628" t="s">
        <v>19</v>
      </c>
      <c r="D1628" t="s">
        <v>30</v>
      </c>
      <c r="E1628">
        <v>12</v>
      </c>
      <c r="F1628">
        <v>1936</v>
      </c>
      <c r="G1628" t="s">
        <v>40</v>
      </c>
      <c r="H1628">
        <v>23232</v>
      </c>
      <c r="I1628">
        <v>17363.439525256501</v>
      </c>
      <c r="J1628">
        <v>5868.5604747435027</v>
      </c>
    </row>
    <row r="1629" spans="1:10" x14ac:dyDescent="0.35">
      <c r="A1629" s="1">
        <v>45331</v>
      </c>
      <c r="B1629" t="s">
        <v>11</v>
      </c>
      <c r="C1629" t="s">
        <v>17</v>
      </c>
      <c r="D1629" t="s">
        <v>37</v>
      </c>
      <c r="E1629">
        <v>7</v>
      </c>
      <c r="F1629">
        <v>929</v>
      </c>
      <c r="G1629" t="s">
        <v>38</v>
      </c>
      <c r="H1629">
        <v>6503</v>
      </c>
      <c r="I1629">
        <v>5179.9942003022006</v>
      </c>
      <c r="J1629">
        <v>1323.0057996977989</v>
      </c>
    </row>
    <row r="1630" spans="1:10" x14ac:dyDescent="0.35">
      <c r="A1630" s="1">
        <v>45645</v>
      </c>
      <c r="B1630" t="s">
        <v>13</v>
      </c>
      <c r="C1630" t="s">
        <v>21</v>
      </c>
      <c r="D1630" t="s">
        <v>37</v>
      </c>
      <c r="E1630">
        <v>16</v>
      </c>
      <c r="F1630">
        <v>1586</v>
      </c>
      <c r="G1630" t="s">
        <v>40</v>
      </c>
      <c r="H1630">
        <v>25376</v>
      </c>
      <c r="I1630">
        <v>19634.385004676351</v>
      </c>
      <c r="J1630">
        <v>5741.6149953236527</v>
      </c>
    </row>
    <row r="1631" spans="1:10" x14ac:dyDescent="0.35">
      <c r="A1631" s="1">
        <v>45331</v>
      </c>
      <c r="B1631" t="s">
        <v>11</v>
      </c>
      <c r="C1631" t="s">
        <v>20</v>
      </c>
      <c r="D1631" t="s">
        <v>36</v>
      </c>
      <c r="E1631">
        <v>11</v>
      </c>
      <c r="F1631">
        <v>1322</v>
      </c>
      <c r="G1631" t="s">
        <v>38</v>
      </c>
      <c r="H1631">
        <v>14542</v>
      </c>
      <c r="I1631">
        <v>9335.966105830259</v>
      </c>
      <c r="J1631">
        <v>5206.033894169741</v>
      </c>
    </row>
    <row r="1632" spans="1:10" x14ac:dyDescent="0.35">
      <c r="A1632" s="1">
        <v>45638</v>
      </c>
      <c r="B1632" t="s">
        <v>13</v>
      </c>
      <c r="C1632" t="s">
        <v>19</v>
      </c>
      <c r="D1632" t="s">
        <v>37</v>
      </c>
      <c r="E1632">
        <v>14</v>
      </c>
      <c r="F1632">
        <v>1394</v>
      </c>
      <c r="G1632" t="s">
        <v>40</v>
      </c>
      <c r="H1632">
        <v>19516</v>
      </c>
      <c r="I1632">
        <v>12654.408815545021</v>
      </c>
      <c r="J1632">
        <v>6861.5911844549773</v>
      </c>
    </row>
    <row r="1633" spans="1:10" x14ac:dyDescent="0.35">
      <c r="A1633" s="1">
        <v>45528</v>
      </c>
      <c r="B1633" t="s">
        <v>10</v>
      </c>
      <c r="C1633" t="s">
        <v>21</v>
      </c>
      <c r="D1633" t="s">
        <v>35</v>
      </c>
      <c r="E1633">
        <v>3</v>
      </c>
      <c r="F1633">
        <v>845</v>
      </c>
      <c r="G1633" t="s">
        <v>40</v>
      </c>
      <c r="H1633">
        <v>2535</v>
      </c>
      <c r="I1633">
        <v>2031.592859169403</v>
      </c>
      <c r="J1633">
        <v>503.40714083059652</v>
      </c>
    </row>
    <row r="1634" spans="1:10" x14ac:dyDescent="0.35">
      <c r="A1634" s="1">
        <v>45580</v>
      </c>
      <c r="B1634" t="s">
        <v>10</v>
      </c>
      <c r="C1634" t="s">
        <v>21</v>
      </c>
      <c r="D1634" t="s">
        <v>32</v>
      </c>
      <c r="E1634">
        <v>19</v>
      </c>
      <c r="F1634">
        <v>657</v>
      </c>
      <c r="G1634" t="s">
        <v>40</v>
      </c>
      <c r="H1634">
        <v>12483</v>
      </c>
      <c r="I1634">
        <v>10519.0844229266</v>
      </c>
      <c r="J1634">
        <v>1963.915577073398</v>
      </c>
    </row>
    <row r="1635" spans="1:10" x14ac:dyDescent="0.35">
      <c r="A1635" s="1">
        <v>45553</v>
      </c>
      <c r="B1635" t="s">
        <v>11</v>
      </c>
      <c r="C1635" t="s">
        <v>21</v>
      </c>
      <c r="D1635" t="s">
        <v>36</v>
      </c>
      <c r="E1635">
        <v>18</v>
      </c>
      <c r="F1635">
        <v>163</v>
      </c>
      <c r="G1635" t="s">
        <v>40</v>
      </c>
      <c r="H1635">
        <v>2934</v>
      </c>
      <c r="I1635">
        <v>2559.687089106546</v>
      </c>
      <c r="J1635">
        <v>374.31291089345399</v>
      </c>
    </row>
    <row r="1636" spans="1:10" x14ac:dyDescent="0.35">
      <c r="A1636" s="1">
        <v>45507</v>
      </c>
      <c r="B1636" t="s">
        <v>11</v>
      </c>
      <c r="C1636" t="s">
        <v>22</v>
      </c>
      <c r="D1636" t="s">
        <v>35</v>
      </c>
      <c r="E1636">
        <v>10</v>
      </c>
      <c r="F1636">
        <v>1353</v>
      </c>
      <c r="G1636" t="s">
        <v>40</v>
      </c>
      <c r="H1636">
        <v>13530</v>
      </c>
      <c r="I1636">
        <v>11420.449140789889</v>
      </c>
      <c r="J1636">
        <v>2109.5508592101119</v>
      </c>
    </row>
    <row r="1637" spans="1:10" x14ac:dyDescent="0.35">
      <c r="A1637" s="1">
        <v>45438</v>
      </c>
      <c r="B1637" t="s">
        <v>10</v>
      </c>
      <c r="C1637" t="s">
        <v>21</v>
      </c>
      <c r="D1637" t="s">
        <v>33</v>
      </c>
      <c r="E1637">
        <v>6</v>
      </c>
      <c r="F1637">
        <v>1041</v>
      </c>
      <c r="G1637" t="s">
        <v>40</v>
      </c>
      <c r="H1637">
        <v>6246</v>
      </c>
      <c r="I1637">
        <v>5572.5385642588253</v>
      </c>
      <c r="J1637">
        <v>673.46143574117468</v>
      </c>
    </row>
    <row r="1638" spans="1:10" x14ac:dyDescent="0.35">
      <c r="A1638" s="1">
        <v>45627</v>
      </c>
      <c r="B1638" t="s">
        <v>13</v>
      </c>
      <c r="C1638" t="s">
        <v>22</v>
      </c>
      <c r="D1638" t="s">
        <v>30</v>
      </c>
      <c r="E1638">
        <v>13</v>
      </c>
      <c r="F1638">
        <v>348</v>
      </c>
      <c r="G1638" t="s">
        <v>40</v>
      </c>
      <c r="H1638">
        <v>4524</v>
      </c>
      <c r="I1638">
        <v>3268.479348612922</v>
      </c>
      <c r="J1638">
        <v>1255.520651387078</v>
      </c>
    </row>
    <row r="1639" spans="1:10" x14ac:dyDescent="0.35">
      <c r="A1639" s="1">
        <v>45459</v>
      </c>
      <c r="B1639" t="s">
        <v>10</v>
      </c>
      <c r="C1639" t="s">
        <v>21</v>
      </c>
      <c r="D1639" t="s">
        <v>30</v>
      </c>
      <c r="E1639">
        <v>10</v>
      </c>
      <c r="F1639">
        <v>1369</v>
      </c>
      <c r="G1639" t="s">
        <v>40</v>
      </c>
      <c r="H1639">
        <v>13690</v>
      </c>
      <c r="I1639">
        <v>9574.0977525898943</v>
      </c>
      <c r="J1639">
        <v>4115.9022474101057</v>
      </c>
    </row>
    <row r="1640" spans="1:10" x14ac:dyDescent="0.35">
      <c r="A1640" s="1">
        <v>45383</v>
      </c>
      <c r="B1640" t="s">
        <v>11</v>
      </c>
      <c r="C1640" t="s">
        <v>24</v>
      </c>
      <c r="D1640" t="s">
        <v>33</v>
      </c>
      <c r="E1640">
        <v>18</v>
      </c>
      <c r="F1640">
        <v>1039</v>
      </c>
      <c r="G1640" t="s">
        <v>40</v>
      </c>
      <c r="H1640">
        <v>18702</v>
      </c>
      <c r="I1640">
        <v>11379.329444087511</v>
      </c>
      <c r="J1640">
        <v>7322.6705559124885</v>
      </c>
    </row>
    <row r="1641" spans="1:10" x14ac:dyDescent="0.35">
      <c r="A1641" s="1">
        <v>45644</v>
      </c>
      <c r="B1641" t="s">
        <v>10</v>
      </c>
      <c r="C1641" t="s">
        <v>18</v>
      </c>
      <c r="D1641" t="s">
        <v>36</v>
      </c>
      <c r="E1641">
        <v>16</v>
      </c>
      <c r="F1641">
        <v>1710</v>
      </c>
      <c r="G1641" t="s">
        <v>39</v>
      </c>
      <c r="H1641">
        <v>27360</v>
      </c>
      <c r="I1641">
        <v>20108.745185950269</v>
      </c>
      <c r="J1641">
        <v>7251.2548140497274</v>
      </c>
    </row>
    <row r="1642" spans="1:10" x14ac:dyDescent="0.35">
      <c r="A1642" s="1">
        <v>45350</v>
      </c>
      <c r="B1642" t="s">
        <v>11</v>
      </c>
      <c r="C1642" t="s">
        <v>19</v>
      </c>
      <c r="D1642" t="s">
        <v>37</v>
      </c>
      <c r="E1642">
        <v>6</v>
      </c>
      <c r="F1642">
        <v>256</v>
      </c>
      <c r="G1642" t="s">
        <v>40</v>
      </c>
      <c r="H1642">
        <v>1536</v>
      </c>
      <c r="I1642">
        <v>1221.752011352017</v>
      </c>
      <c r="J1642">
        <v>314.24798864798248</v>
      </c>
    </row>
    <row r="1643" spans="1:10" x14ac:dyDescent="0.35">
      <c r="A1643" s="1">
        <v>45350</v>
      </c>
      <c r="B1643" t="s">
        <v>11</v>
      </c>
      <c r="C1643" t="s">
        <v>24</v>
      </c>
      <c r="D1643" t="s">
        <v>34</v>
      </c>
      <c r="E1643">
        <v>13</v>
      </c>
      <c r="F1643">
        <v>834</v>
      </c>
      <c r="G1643" t="s">
        <v>40</v>
      </c>
      <c r="H1643">
        <v>10842</v>
      </c>
      <c r="I1643">
        <v>9157.3981467654849</v>
      </c>
      <c r="J1643">
        <v>1684.6018532345149</v>
      </c>
    </row>
    <row r="1644" spans="1:10" x14ac:dyDescent="0.35">
      <c r="A1644" s="1">
        <v>45595</v>
      </c>
      <c r="B1644" t="s">
        <v>10</v>
      </c>
      <c r="C1644" t="s">
        <v>21</v>
      </c>
      <c r="D1644" t="s">
        <v>30</v>
      </c>
      <c r="E1644">
        <v>4</v>
      </c>
      <c r="F1644">
        <v>1825</v>
      </c>
      <c r="G1644" t="s">
        <v>40</v>
      </c>
      <c r="H1644">
        <v>7300</v>
      </c>
      <c r="I1644">
        <v>4965.7272882758716</v>
      </c>
      <c r="J1644">
        <v>2334.2727117241279</v>
      </c>
    </row>
    <row r="1645" spans="1:10" x14ac:dyDescent="0.35">
      <c r="A1645" s="1">
        <v>45460</v>
      </c>
      <c r="B1645" t="s">
        <v>13</v>
      </c>
      <c r="C1645" t="s">
        <v>19</v>
      </c>
      <c r="D1645" t="s">
        <v>34</v>
      </c>
      <c r="E1645">
        <v>14</v>
      </c>
      <c r="F1645">
        <v>1084</v>
      </c>
      <c r="G1645" t="s">
        <v>40</v>
      </c>
      <c r="H1645">
        <v>15176</v>
      </c>
      <c r="I1645">
        <v>11443.878363054109</v>
      </c>
      <c r="J1645">
        <v>3732.1216369458939</v>
      </c>
    </row>
    <row r="1646" spans="1:10" x14ac:dyDescent="0.35">
      <c r="A1646" s="1">
        <v>45560</v>
      </c>
      <c r="B1646" t="s">
        <v>12</v>
      </c>
      <c r="C1646" t="s">
        <v>19</v>
      </c>
      <c r="D1646" t="s">
        <v>33</v>
      </c>
      <c r="E1646">
        <v>1</v>
      </c>
      <c r="F1646">
        <v>1687</v>
      </c>
      <c r="G1646" t="s">
        <v>40</v>
      </c>
      <c r="H1646">
        <v>1687</v>
      </c>
      <c r="I1646">
        <v>1347.2430406511689</v>
      </c>
      <c r="J1646">
        <v>339.75695934883112</v>
      </c>
    </row>
    <row r="1647" spans="1:10" x14ac:dyDescent="0.35">
      <c r="A1647" s="1">
        <v>45654</v>
      </c>
      <c r="B1647" t="s">
        <v>10</v>
      </c>
      <c r="C1647" t="s">
        <v>23</v>
      </c>
      <c r="D1647" t="s">
        <v>34</v>
      </c>
      <c r="E1647">
        <v>5</v>
      </c>
      <c r="F1647">
        <v>1211</v>
      </c>
      <c r="G1647" t="s">
        <v>39</v>
      </c>
      <c r="H1647">
        <v>6055</v>
      </c>
      <c r="I1647">
        <v>4634.9866060601062</v>
      </c>
      <c r="J1647">
        <v>1420.0133939398941</v>
      </c>
    </row>
    <row r="1648" spans="1:10" x14ac:dyDescent="0.35">
      <c r="A1648" s="1">
        <v>45336</v>
      </c>
      <c r="B1648" t="s">
        <v>12</v>
      </c>
      <c r="C1648" t="s">
        <v>20</v>
      </c>
      <c r="D1648" t="s">
        <v>31</v>
      </c>
      <c r="E1648">
        <v>8</v>
      </c>
      <c r="F1648">
        <v>1436</v>
      </c>
      <c r="G1648" t="s">
        <v>38</v>
      </c>
      <c r="H1648">
        <v>11488</v>
      </c>
      <c r="I1648">
        <v>7837.1850004556582</v>
      </c>
      <c r="J1648">
        <v>3650.8149995443418</v>
      </c>
    </row>
    <row r="1649" spans="1:10" x14ac:dyDescent="0.35">
      <c r="A1649" s="1">
        <v>45636</v>
      </c>
      <c r="B1649" t="s">
        <v>10</v>
      </c>
      <c r="C1649" t="s">
        <v>24</v>
      </c>
      <c r="D1649" t="s">
        <v>36</v>
      </c>
      <c r="E1649">
        <v>12</v>
      </c>
      <c r="F1649">
        <v>1974</v>
      </c>
      <c r="G1649" t="s">
        <v>40</v>
      </c>
      <c r="H1649">
        <v>23688</v>
      </c>
      <c r="I1649">
        <v>19871.501519500031</v>
      </c>
      <c r="J1649">
        <v>3816.498480499969</v>
      </c>
    </row>
    <row r="1650" spans="1:10" x14ac:dyDescent="0.35">
      <c r="A1650" s="1">
        <v>45472</v>
      </c>
      <c r="B1650" t="s">
        <v>12</v>
      </c>
      <c r="C1650" t="s">
        <v>20</v>
      </c>
      <c r="D1650" t="s">
        <v>35</v>
      </c>
      <c r="E1650">
        <v>2</v>
      </c>
      <c r="F1650">
        <v>1189</v>
      </c>
      <c r="G1650" t="s">
        <v>38</v>
      </c>
      <c r="H1650">
        <v>2378</v>
      </c>
      <c r="I1650">
        <v>1550.4757462974781</v>
      </c>
      <c r="J1650">
        <v>827.5242537025224</v>
      </c>
    </row>
    <row r="1651" spans="1:10" x14ac:dyDescent="0.35">
      <c r="A1651" s="1">
        <v>45461</v>
      </c>
      <c r="B1651" t="s">
        <v>13</v>
      </c>
      <c r="C1651" t="s">
        <v>19</v>
      </c>
      <c r="D1651" t="s">
        <v>36</v>
      </c>
      <c r="E1651">
        <v>12</v>
      </c>
      <c r="F1651">
        <v>761</v>
      </c>
      <c r="G1651" t="s">
        <v>40</v>
      </c>
      <c r="H1651">
        <v>9132</v>
      </c>
      <c r="I1651">
        <v>7958.4827526411236</v>
      </c>
      <c r="J1651">
        <v>1173.5172473588759</v>
      </c>
    </row>
    <row r="1652" spans="1:10" x14ac:dyDescent="0.35">
      <c r="A1652" s="1">
        <v>45647</v>
      </c>
      <c r="B1652" t="s">
        <v>13</v>
      </c>
      <c r="C1652" t="s">
        <v>22</v>
      </c>
      <c r="E1652">
        <v>5</v>
      </c>
      <c r="F1652">
        <v>1143</v>
      </c>
      <c r="G1652" t="s">
        <v>40</v>
      </c>
      <c r="H1652">
        <v>5715</v>
      </c>
      <c r="I1652">
        <v>5062.2271262544746</v>
      </c>
      <c r="J1652">
        <v>652.77287374552543</v>
      </c>
    </row>
    <row r="1653" spans="1:10" x14ac:dyDescent="0.35">
      <c r="A1653" s="1">
        <v>45482</v>
      </c>
      <c r="B1653" t="s">
        <v>10</v>
      </c>
      <c r="C1653" t="s">
        <v>19</v>
      </c>
      <c r="D1653" t="s">
        <v>37</v>
      </c>
      <c r="E1653">
        <v>5</v>
      </c>
      <c r="F1653">
        <v>132</v>
      </c>
      <c r="G1653" t="s">
        <v>40</v>
      </c>
      <c r="H1653">
        <v>660</v>
      </c>
      <c r="I1653">
        <v>468.38350589090192</v>
      </c>
      <c r="J1653">
        <v>191.61649410909811</v>
      </c>
    </row>
    <row r="1654" spans="1:10" x14ac:dyDescent="0.35">
      <c r="A1654" s="1">
        <v>45446</v>
      </c>
      <c r="B1654" t="s">
        <v>11</v>
      </c>
      <c r="C1654" t="s">
        <v>20</v>
      </c>
      <c r="D1654" t="s">
        <v>37</v>
      </c>
      <c r="E1654">
        <v>13</v>
      </c>
      <c r="F1654">
        <v>1963</v>
      </c>
      <c r="G1654" t="s">
        <v>38</v>
      </c>
      <c r="H1654">
        <v>25519</v>
      </c>
      <c r="I1654">
        <v>18191.334933423299</v>
      </c>
      <c r="J1654">
        <v>7327.6650665767011</v>
      </c>
    </row>
    <row r="1655" spans="1:10" x14ac:dyDescent="0.35">
      <c r="A1655" s="1">
        <v>45479</v>
      </c>
      <c r="B1655" t="s">
        <v>50</v>
      </c>
      <c r="C1655" t="s">
        <v>24</v>
      </c>
      <c r="D1655" t="s">
        <v>36</v>
      </c>
      <c r="E1655">
        <v>9</v>
      </c>
      <c r="F1655">
        <v>1916</v>
      </c>
      <c r="G1655" t="s">
        <v>40</v>
      </c>
      <c r="H1655">
        <v>17244</v>
      </c>
      <c r="I1655">
        <v>14191.527089030429</v>
      </c>
      <c r="J1655">
        <v>3052.4729109695709</v>
      </c>
    </row>
    <row r="1656" spans="1:10" x14ac:dyDescent="0.35">
      <c r="A1656" s="1">
        <v>45298</v>
      </c>
      <c r="B1656" t="s">
        <v>11</v>
      </c>
      <c r="C1656" t="s">
        <v>21</v>
      </c>
      <c r="D1656" t="s">
        <v>33</v>
      </c>
      <c r="E1656">
        <v>10</v>
      </c>
      <c r="F1656">
        <v>657</v>
      </c>
      <c r="G1656" t="s">
        <v>40</v>
      </c>
      <c r="H1656">
        <v>6570</v>
      </c>
      <c r="I1656">
        <v>4841.3448277459938</v>
      </c>
      <c r="J1656">
        <v>1728.6551722540059</v>
      </c>
    </row>
    <row r="1657" spans="1:10" x14ac:dyDescent="0.35">
      <c r="A1657" s="1">
        <v>45424</v>
      </c>
      <c r="B1657" t="s">
        <v>11</v>
      </c>
      <c r="C1657" t="s">
        <v>23</v>
      </c>
      <c r="D1657" t="s">
        <v>33</v>
      </c>
      <c r="E1657">
        <v>1</v>
      </c>
      <c r="F1657">
        <v>172</v>
      </c>
      <c r="G1657" t="s">
        <v>39</v>
      </c>
      <c r="H1657">
        <v>172</v>
      </c>
      <c r="I1657">
        <v>104.6762834097205</v>
      </c>
      <c r="J1657">
        <v>67.323716590279474</v>
      </c>
    </row>
    <row r="1658" spans="1:10" x14ac:dyDescent="0.35">
      <c r="A1658" s="1">
        <v>45526</v>
      </c>
      <c r="B1658" t="s">
        <v>11</v>
      </c>
      <c r="C1658" t="s">
        <v>23</v>
      </c>
      <c r="D1658" t="s">
        <v>31</v>
      </c>
      <c r="E1658">
        <v>3</v>
      </c>
      <c r="F1658">
        <v>1989</v>
      </c>
      <c r="G1658" t="s">
        <v>39</v>
      </c>
      <c r="H1658">
        <v>5967</v>
      </c>
      <c r="I1658">
        <v>5226.8713302114493</v>
      </c>
      <c r="J1658">
        <v>740.12866978855072</v>
      </c>
    </row>
    <row r="1659" spans="1:10" x14ac:dyDescent="0.35">
      <c r="A1659" s="1">
        <v>45336</v>
      </c>
      <c r="B1659" t="s">
        <v>13</v>
      </c>
      <c r="C1659" t="s">
        <v>23</v>
      </c>
      <c r="D1659" t="s">
        <v>31</v>
      </c>
      <c r="E1659">
        <v>18</v>
      </c>
      <c r="F1659">
        <v>924</v>
      </c>
      <c r="G1659" t="s">
        <v>39</v>
      </c>
      <c r="H1659">
        <v>16632</v>
      </c>
      <c r="I1659">
        <v>12128.471906272371</v>
      </c>
      <c r="J1659">
        <v>4503.5280937276293</v>
      </c>
    </row>
    <row r="1660" spans="1:10" x14ac:dyDescent="0.35">
      <c r="A1660" s="1">
        <v>45605</v>
      </c>
      <c r="B1660" t="s">
        <v>10</v>
      </c>
      <c r="C1660" t="s">
        <v>21</v>
      </c>
      <c r="D1660" t="s">
        <v>37</v>
      </c>
      <c r="E1660">
        <v>12</v>
      </c>
      <c r="F1660">
        <v>1466</v>
      </c>
      <c r="G1660" t="s">
        <v>40</v>
      </c>
      <c r="H1660">
        <v>17592</v>
      </c>
      <c r="I1660">
        <v>11629.165742611551</v>
      </c>
      <c r="J1660">
        <v>5962.8342573884529</v>
      </c>
    </row>
    <row r="1661" spans="1:10" x14ac:dyDescent="0.35">
      <c r="A1661" s="1">
        <v>45540</v>
      </c>
      <c r="B1661" t="s">
        <v>10</v>
      </c>
      <c r="C1661" t="s">
        <v>23</v>
      </c>
      <c r="D1661" t="s">
        <v>31</v>
      </c>
      <c r="E1661">
        <v>3</v>
      </c>
      <c r="F1661">
        <v>1256</v>
      </c>
      <c r="G1661" t="s">
        <v>39</v>
      </c>
      <c r="H1661">
        <v>3768</v>
      </c>
      <c r="I1661">
        <v>2888.9226682873882</v>
      </c>
      <c r="J1661">
        <v>879.07733171261225</v>
      </c>
    </row>
    <row r="1662" spans="1:10" x14ac:dyDescent="0.35">
      <c r="A1662" s="1">
        <v>45322</v>
      </c>
      <c r="B1662" t="s">
        <v>13</v>
      </c>
      <c r="C1662" t="s">
        <v>24</v>
      </c>
      <c r="D1662" t="s">
        <v>30</v>
      </c>
      <c r="E1662">
        <v>9</v>
      </c>
      <c r="F1662">
        <v>1178</v>
      </c>
      <c r="G1662" t="s">
        <v>40</v>
      </c>
      <c r="H1662">
        <v>10602</v>
      </c>
      <c r="I1662">
        <v>7057.4529407379414</v>
      </c>
      <c r="J1662">
        <v>3544.5470592620591</v>
      </c>
    </row>
    <row r="1663" spans="1:10" x14ac:dyDescent="0.35">
      <c r="A1663" s="1">
        <v>45314</v>
      </c>
      <c r="B1663" t="s">
        <v>13</v>
      </c>
      <c r="D1663" t="s">
        <v>30</v>
      </c>
      <c r="E1663">
        <v>2</v>
      </c>
      <c r="F1663">
        <v>160</v>
      </c>
      <c r="G1663" t="s">
        <v>40</v>
      </c>
      <c r="H1663">
        <v>320</v>
      </c>
      <c r="I1663">
        <v>211.77811196943429</v>
      </c>
      <c r="J1663">
        <v>108.22188803056569</v>
      </c>
    </row>
    <row r="1664" spans="1:10" x14ac:dyDescent="0.35">
      <c r="A1664" s="1">
        <v>45451</v>
      </c>
      <c r="B1664" t="s">
        <v>10</v>
      </c>
      <c r="C1664" t="s">
        <v>23</v>
      </c>
      <c r="D1664" t="s">
        <v>35</v>
      </c>
      <c r="E1664">
        <v>3</v>
      </c>
      <c r="F1664">
        <v>1980</v>
      </c>
      <c r="G1664" t="s">
        <v>39</v>
      </c>
      <c r="H1664">
        <v>5940</v>
      </c>
      <c r="I1664">
        <v>4536.4932254101077</v>
      </c>
      <c r="J1664">
        <v>1403.5067745898921</v>
      </c>
    </row>
    <row r="1665" spans="1:10" x14ac:dyDescent="0.35">
      <c r="A1665" s="1">
        <v>45654</v>
      </c>
      <c r="B1665" t="s">
        <v>11</v>
      </c>
      <c r="C1665" t="s">
        <v>21</v>
      </c>
      <c r="D1665" t="s">
        <v>31</v>
      </c>
      <c r="E1665">
        <v>14</v>
      </c>
      <c r="F1665">
        <v>1643</v>
      </c>
      <c r="G1665" t="s">
        <v>40</v>
      </c>
      <c r="H1665">
        <v>23002</v>
      </c>
      <c r="I1665">
        <v>16499.626441482651</v>
      </c>
      <c r="J1665">
        <v>6502.373558517349</v>
      </c>
    </row>
    <row r="1666" spans="1:10" x14ac:dyDescent="0.35">
      <c r="A1666" s="1">
        <v>45449</v>
      </c>
      <c r="B1666" t="s">
        <v>12</v>
      </c>
      <c r="C1666" t="s">
        <v>20</v>
      </c>
      <c r="D1666" t="s">
        <v>35</v>
      </c>
      <c r="E1666">
        <v>4</v>
      </c>
      <c r="F1666">
        <v>371</v>
      </c>
      <c r="G1666" t="s">
        <v>38</v>
      </c>
      <c r="H1666">
        <v>1484</v>
      </c>
      <c r="I1666">
        <v>1145.4966074783349</v>
      </c>
      <c r="J1666">
        <v>338.50339252166532</v>
      </c>
    </row>
    <row r="1667" spans="1:10" x14ac:dyDescent="0.35">
      <c r="A1667" s="1">
        <v>45330</v>
      </c>
      <c r="B1667" t="s">
        <v>12</v>
      </c>
      <c r="C1667" t="s">
        <v>18</v>
      </c>
      <c r="D1667" t="s">
        <v>31</v>
      </c>
      <c r="E1667">
        <v>19</v>
      </c>
      <c r="F1667">
        <v>345</v>
      </c>
      <c r="G1667" t="s">
        <v>39</v>
      </c>
      <c r="H1667">
        <v>6555</v>
      </c>
      <c r="I1667">
        <v>5893.2572214893044</v>
      </c>
      <c r="J1667">
        <v>661.74277851069564</v>
      </c>
    </row>
    <row r="1668" spans="1:10" x14ac:dyDescent="0.35">
      <c r="A1668" s="1">
        <v>45373</v>
      </c>
      <c r="B1668" t="s">
        <v>12</v>
      </c>
      <c r="C1668" t="s">
        <v>18</v>
      </c>
      <c r="D1668" t="s">
        <v>37</v>
      </c>
      <c r="E1668">
        <v>13</v>
      </c>
      <c r="F1668">
        <v>1299</v>
      </c>
      <c r="G1668" t="s">
        <v>39</v>
      </c>
      <c r="H1668">
        <v>16887</v>
      </c>
      <c r="I1668">
        <v>14484.07187185775</v>
      </c>
      <c r="J1668">
        <v>2402.92812814225</v>
      </c>
    </row>
    <row r="1669" spans="1:10" x14ac:dyDescent="0.35">
      <c r="A1669" s="1">
        <v>45647</v>
      </c>
      <c r="B1669" t="s">
        <v>11</v>
      </c>
      <c r="C1669" t="s">
        <v>24</v>
      </c>
      <c r="D1669" t="s">
        <v>37</v>
      </c>
      <c r="E1669">
        <v>7</v>
      </c>
      <c r="F1669">
        <v>727</v>
      </c>
      <c r="G1669" t="s">
        <v>40</v>
      </c>
      <c r="H1669">
        <v>5089</v>
      </c>
      <c r="I1669">
        <v>3065.1110092757199</v>
      </c>
      <c r="J1669">
        <v>2023.8889907242799</v>
      </c>
    </row>
    <row r="1670" spans="1:10" x14ac:dyDescent="0.35">
      <c r="A1670" s="1">
        <v>45549</v>
      </c>
      <c r="B1670" t="s">
        <v>10</v>
      </c>
      <c r="C1670" t="s">
        <v>17</v>
      </c>
      <c r="D1670" t="s">
        <v>35</v>
      </c>
      <c r="E1670">
        <v>12</v>
      </c>
      <c r="G1670" t="s">
        <v>38</v>
      </c>
    </row>
    <row r="1671" spans="1:10" x14ac:dyDescent="0.35">
      <c r="A1671" s="1">
        <v>45497</v>
      </c>
      <c r="B1671" t="s">
        <v>13</v>
      </c>
      <c r="C1671" t="s">
        <v>22</v>
      </c>
      <c r="D1671" t="s">
        <v>36</v>
      </c>
      <c r="E1671">
        <v>3</v>
      </c>
      <c r="F1671">
        <v>1906</v>
      </c>
      <c r="G1671" t="s">
        <v>40</v>
      </c>
      <c r="H1671">
        <v>5718</v>
      </c>
      <c r="I1671">
        <v>4477.3302716011376</v>
      </c>
      <c r="J1671">
        <v>1240.6697283988619</v>
      </c>
    </row>
    <row r="1672" spans="1:10" x14ac:dyDescent="0.35">
      <c r="A1672" s="1">
        <v>45368</v>
      </c>
      <c r="B1672" t="s">
        <v>10</v>
      </c>
      <c r="C1672" t="s">
        <v>23</v>
      </c>
      <c r="D1672" t="s">
        <v>37</v>
      </c>
      <c r="E1672">
        <v>9</v>
      </c>
      <c r="F1672">
        <v>804</v>
      </c>
      <c r="G1672" t="s">
        <v>39</v>
      </c>
      <c r="H1672">
        <v>7236</v>
      </c>
      <c r="I1672">
        <v>5701.0767009219926</v>
      </c>
      <c r="J1672">
        <v>1534.9232990780069</v>
      </c>
    </row>
    <row r="1673" spans="1:10" x14ac:dyDescent="0.35">
      <c r="A1673" s="1">
        <v>45303</v>
      </c>
      <c r="B1673" t="s">
        <v>11</v>
      </c>
      <c r="C1673" t="s">
        <v>22</v>
      </c>
      <c r="D1673" t="s">
        <v>36</v>
      </c>
      <c r="E1673">
        <v>2</v>
      </c>
      <c r="F1673">
        <v>761</v>
      </c>
      <c r="G1673" t="s">
        <v>40</v>
      </c>
      <c r="H1673">
        <v>1522</v>
      </c>
      <c r="I1673">
        <v>1314.181939405099</v>
      </c>
      <c r="J1673">
        <v>207.81806059490151</v>
      </c>
    </row>
    <row r="1674" spans="1:10" x14ac:dyDescent="0.35">
      <c r="A1674" s="1">
        <v>45586</v>
      </c>
      <c r="B1674" t="s">
        <v>13</v>
      </c>
      <c r="C1674" t="s">
        <v>21</v>
      </c>
      <c r="D1674" t="s">
        <v>33</v>
      </c>
      <c r="E1674">
        <v>9</v>
      </c>
      <c r="F1674">
        <v>1254</v>
      </c>
      <c r="G1674" t="s">
        <v>40</v>
      </c>
      <c r="H1674">
        <v>11286</v>
      </c>
      <c r="I1674">
        <v>8901.4617814959984</v>
      </c>
      <c r="J1674">
        <v>2384.5382185040021</v>
      </c>
    </row>
    <row r="1675" spans="1:10" x14ac:dyDescent="0.35">
      <c r="A1675" s="1">
        <v>45515</v>
      </c>
      <c r="B1675" t="s">
        <v>11</v>
      </c>
      <c r="C1675" t="s">
        <v>22</v>
      </c>
      <c r="D1675" t="s">
        <v>30</v>
      </c>
      <c r="E1675">
        <v>12</v>
      </c>
      <c r="F1675">
        <v>1225</v>
      </c>
      <c r="G1675" t="s">
        <v>40</v>
      </c>
      <c r="H1675">
        <v>14700</v>
      </c>
      <c r="I1675">
        <v>9824.2211148544229</v>
      </c>
      <c r="J1675">
        <v>4875.7788851455771</v>
      </c>
    </row>
    <row r="1676" spans="1:10" x14ac:dyDescent="0.35">
      <c r="A1676" s="1">
        <v>45304</v>
      </c>
      <c r="B1676" t="s">
        <v>16</v>
      </c>
      <c r="C1676" t="s">
        <v>24</v>
      </c>
      <c r="D1676" t="s">
        <v>35</v>
      </c>
      <c r="E1676">
        <v>12</v>
      </c>
      <c r="F1676">
        <v>409</v>
      </c>
      <c r="G1676" t="s">
        <v>40</v>
      </c>
      <c r="H1676">
        <v>4908</v>
      </c>
      <c r="I1676">
        <v>3634.6432936708561</v>
      </c>
      <c r="J1676">
        <v>1273.3567063291439</v>
      </c>
    </row>
    <row r="1677" spans="1:10" x14ac:dyDescent="0.35">
      <c r="A1677" s="1">
        <v>45337</v>
      </c>
      <c r="B1677" t="s">
        <v>12</v>
      </c>
      <c r="C1677" t="s">
        <v>24</v>
      </c>
      <c r="D1677" t="s">
        <v>34</v>
      </c>
      <c r="E1677">
        <v>15</v>
      </c>
      <c r="F1677">
        <v>1905</v>
      </c>
      <c r="G1677" t="s">
        <v>40</v>
      </c>
      <c r="H1677">
        <v>28575</v>
      </c>
      <c r="I1677">
        <v>24080.027347253759</v>
      </c>
      <c r="J1677">
        <v>4494.9726527462371</v>
      </c>
    </row>
    <row r="1678" spans="1:10" x14ac:dyDescent="0.35">
      <c r="A1678" s="1">
        <v>45446</v>
      </c>
      <c r="B1678" t="s">
        <v>11</v>
      </c>
      <c r="C1678" t="s">
        <v>19</v>
      </c>
      <c r="D1678" t="s">
        <v>37</v>
      </c>
      <c r="E1678">
        <v>2</v>
      </c>
      <c r="F1678">
        <v>1415</v>
      </c>
      <c r="G1678" t="s">
        <v>40</v>
      </c>
      <c r="H1678">
        <v>2830</v>
      </c>
      <c r="I1678">
        <v>2481.478394944018</v>
      </c>
      <c r="J1678">
        <v>348.52160505598249</v>
      </c>
    </row>
    <row r="1679" spans="1:10" x14ac:dyDescent="0.35">
      <c r="A1679" s="1">
        <v>45404</v>
      </c>
      <c r="B1679" t="s">
        <v>13</v>
      </c>
      <c r="C1679" t="s">
        <v>18</v>
      </c>
      <c r="D1679" t="s">
        <v>32</v>
      </c>
      <c r="E1679">
        <v>18</v>
      </c>
      <c r="F1679">
        <v>1845</v>
      </c>
      <c r="G1679" t="s">
        <v>39</v>
      </c>
      <c r="H1679">
        <v>33210</v>
      </c>
      <c r="I1679">
        <v>22286.385330265319</v>
      </c>
      <c r="J1679">
        <v>10923.614669734679</v>
      </c>
    </row>
    <row r="1680" spans="1:10" x14ac:dyDescent="0.35">
      <c r="A1680" s="1">
        <v>45524</v>
      </c>
      <c r="B1680" t="s">
        <v>13</v>
      </c>
      <c r="C1680" t="s">
        <v>23</v>
      </c>
      <c r="D1680" t="s">
        <v>33</v>
      </c>
      <c r="E1680">
        <v>13</v>
      </c>
      <c r="F1680">
        <v>594</v>
      </c>
      <c r="G1680" t="s">
        <v>39</v>
      </c>
      <c r="H1680">
        <v>7722</v>
      </c>
      <c r="I1680">
        <v>5883.2483291318704</v>
      </c>
      <c r="J1680">
        <v>1838.7516708681301</v>
      </c>
    </row>
    <row r="1681" spans="1:10" x14ac:dyDescent="0.35">
      <c r="A1681" s="1">
        <v>45308</v>
      </c>
      <c r="B1681" t="s">
        <v>10</v>
      </c>
      <c r="C1681" t="s">
        <v>19</v>
      </c>
      <c r="D1681" t="s">
        <v>36</v>
      </c>
      <c r="E1681">
        <v>14</v>
      </c>
      <c r="F1681">
        <v>1484</v>
      </c>
      <c r="G1681" t="s">
        <v>40</v>
      </c>
      <c r="H1681">
        <v>20776</v>
      </c>
      <c r="I1681">
        <v>13456.16363470209</v>
      </c>
      <c r="J1681">
        <v>7319.8363652979133</v>
      </c>
    </row>
    <row r="1682" spans="1:10" x14ac:dyDescent="0.35">
      <c r="A1682" s="1">
        <v>45651</v>
      </c>
      <c r="B1682" t="s">
        <v>12</v>
      </c>
      <c r="C1682" t="s">
        <v>22</v>
      </c>
      <c r="D1682" t="s">
        <v>37</v>
      </c>
      <c r="E1682">
        <v>5</v>
      </c>
      <c r="F1682">
        <v>437</v>
      </c>
      <c r="G1682" t="s">
        <v>40</v>
      </c>
      <c r="H1682">
        <v>2185</v>
      </c>
      <c r="I1682">
        <v>1636.7833026470221</v>
      </c>
      <c r="J1682">
        <v>548.21669735297837</v>
      </c>
    </row>
    <row r="1683" spans="1:10" x14ac:dyDescent="0.35">
      <c r="A1683" s="1">
        <v>45514</v>
      </c>
      <c r="B1683" t="s">
        <v>10</v>
      </c>
      <c r="C1683" t="s">
        <v>17</v>
      </c>
      <c r="D1683" t="s">
        <v>35</v>
      </c>
      <c r="E1683">
        <v>10</v>
      </c>
      <c r="F1683">
        <v>678</v>
      </c>
      <c r="G1683" t="s">
        <v>38</v>
      </c>
      <c r="H1683">
        <v>6780</v>
      </c>
      <c r="I1683">
        <v>4251.2921216044851</v>
      </c>
      <c r="J1683">
        <v>2528.7078783955149</v>
      </c>
    </row>
    <row r="1684" spans="1:10" x14ac:dyDescent="0.35">
      <c r="A1684" s="1">
        <v>45645</v>
      </c>
      <c r="B1684" t="s">
        <v>10</v>
      </c>
      <c r="C1684" t="s">
        <v>19</v>
      </c>
      <c r="D1684" t="s">
        <v>34</v>
      </c>
      <c r="E1684">
        <v>12</v>
      </c>
      <c r="F1684">
        <v>109</v>
      </c>
      <c r="G1684" t="s">
        <v>40</v>
      </c>
      <c r="H1684">
        <v>1308</v>
      </c>
      <c r="I1684">
        <v>1154.334094648566</v>
      </c>
      <c r="J1684">
        <v>153.66590535143399</v>
      </c>
    </row>
    <row r="1685" spans="1:10" x14ac:dyDescent="0.35">
      <c r="A1685" s="1">
        <v>45479</v>
      </c>
      <c r="B1685" t="s">
        <v>11</v>
      </c>
      <c r="C1685" t="s">
        <v>19</v>
      </c>
      <c r="D1685" t="s">
        <v>31</v>
      </c>
      <c r="E1685">
        <v>10</v>
      </c>
      <c r="F1685">
        <v>148</v>
      </c>
      <c r="G1685" t="s">
        <v>40</v>
      </c>
      <c r="H1685">
        <v>1480</v>
      </c>
      <c r="I1685">
        <v>1171.2970674774811</v>
      </c>
      <c r="J1685">
        <v>308.70293252251872</v>
      </c>
    </row>
    <row r="1686" spans="1:10" x14ac:dyDescent="0.35">
      <c r="A1686" s="1">
        <v>45635</v>
      </c>
      <c r="B1686" t="s">
        <v>11</v>
      </c>
      <c r="C1686" t="s">
        <v>24</v>
      </c>
      <c r="D1686" t="s">
        <v>34</v>
      </c>
      <c r="E1686">
        <v>11</v>
      </c>
      <c r="F1686">
        <v>1610</v>
      </c>
      <c r="G1686" t="s">
        <v>40</v>
      </c>
      <c r="H1686">
        <v>17710</v>
      </c>
      <c r="I1686">
        <v>15164.453548724759</v>
      </c>
      <c r="J1686">
        <v>2545.5464512752351</v>
      </c>
    </row>
    <row r="1687" spans="1:10" x14ac:dyDescent="0.35">
      <c r="A1687" s="1">
        <v>45656</v>
      </c>
      <c r="B1687" t="s">
        <v>10</v>
      </c>
      <c r="C1687" t="s">
        <v>17</v>
      </c>
      <c r="D1687" t="s">
        <v>32</v>
      </c>
      <c r="E1687">
        <v>2</v>
      </c>
      <c r="F1687">
        <v>722</v>
      </c>
      <c r="G1687" t="s">
        <v>38</v>
      </c>
      <c r="H1687">
        <v>1444</v>
      </c>
      <c r="I1687">
        <v>1298.861469455602</v>
      </c>
      <c r="J1687">
        <v>145.13853054439821</v>
      </c>
    </row>
    <row r="1688" spans="1:10" x14ac:dyDescent="0.35">
      <c r="A1688" s="1">
        <v>45454</v>
      </c>
      <c r="B1688" t="s">
        <v>12</v>
      </c>
      <c r="C1688" t="s">
        <v>21</v>
      </c>
      <c r="D1688" t="s">
        <v>36</v>
      </c>
      <c r="E1688">
        <v>5</v>
      </c>
      <c r="F1688">
        <v>1444</v>
      </c>
      <c r="G1688" t="s">
        <v>40</v>
      </c>
      <c r="H1688">
        <v>7220</v>
      </c>
      <c r="I1688">
        <v>4727.6545445318498</v>
      </c>
      <c r="J1688">
        <v>2492.3454554681498</v>
      </c>
    </row>
    <row r="1689" spans="1:10" x14ac:dyDescent="0.35">
      <c r="A1689" s="1">
        <v>45617</v>
      </c>
      <c r="B1689" t="s">
        <v>50</v>
      </c>
      <c r="C1689" t="s">
        <v>22</v>
      </c>
      <c r="D1689" t="s">
        <v>33</v>
      </c>
      <c r="E1689">
        <v>7</v>
      </c>
      <c r="F1689">
        <v>830</v>
      </c>
      <c r="G1689" t="s">
        <v>40</v>
      </c>
      <c r="H1689">
        <v>5810</v>
      </c>
      <c r="I1689">
        <v>4695.8919722746678</v>
      </c>
      <c r="J1689">
        <v>1114.108027725332</v>
      </c>
    </row>
    <row r="1690" spans="1:10" x14ac:dyDescent="0.35">
      <c r="A1690" s="1">
        <v>45365</v>
      </c>
      <c r="B1690" t="s">
        <v>10</v>
      </c>
      <c r="C1690" t="s">
        <v>19</v>
      </c>
      <c r="D1690" t="s">
        <v>34</v>
      </c>
      <c r="E1690">
        <v>6</v>
      </c>
      <c r="F1690">
        <v>1692</v>
      </c>
      <c r="G1690" t="s">
        <v>40</v>
      </c>
      <c r="H1690">
        <v>10152</v>
      </c>
      <c r="I1690">
        <v>8792.6054555044884</v>
      </c>
      <c r="J1690">
        <v>1359.394544495512</v>
      </c>
    </row>
    <row r="1691" spans="1:10" x14ac:dyDescent="0.35">
      <c r="A1691" s="1">
        <v>45524</v>
      </c>
      <c r="B1691" t="s">
        <v>10</v>
      </c>
      <c r="C1691" t="s">
        <v>17</v>
      </c>
      <c r="D1691" t="s">
        <v>35</v>
      </c>
      <c r="E1691">
        <v>3</v>
      </c>
      <c r="F1691">
        <v>894</v>
      </c>
      <c r="G1691" t="s">
        <v>38</v>
      </c>
      <c r="H1691">
        <v>2682</v>
      </c>
      <c r="I1691">
        <v>2072.599849499526</v>
      </c>
      <c r="J1691">
        <v>609.4001505004735</v>
      </c>
    </row>
    <row r="1692" spans="1:10" x14ac:dyDescent="0.35">
      <c r="A1692" s="1">
        <v>45515</v>
      </c>
      <c r="B1692" t="s">
        <v>16</v>
      </c>
      <c r="C1692" t="s">
        <v>18</v>
      </c>
      <c r="D1692" t="s">
        <v>32</v>
      </c>
      <c r="E1692">
        <v>13</v>
      </c>
      <c r="F1692">
        <v>1070</v>
      </c>
      <c r="G1692" t="s">
        <v>39</v>
      </c>
      <c r="H1692">
        <v>13910</v>
      </c>
      <c r="I1692">
        <v>11015.452986923659</v>
      </c>
      <c r="J1692">
        <v>2894.547013076341</v>
      </c>
    </row>
    <row r="1693" spans="1:10" x14ac:dyDescent="0.35">
      <c r="A1693" s="1">
        <v>45610</v>
      </c>
      <c r="B1693" t="s">
        <v>10</v>
      </c>
      <c r="C1693" t="s">
        <v>23</v>
      </c>
      <c r="D1693" t="s">
        <v>35</v>
      </c>
      <c r="E1693">
        <v>3</v>
      </c>
      <c r="F1693">
        <v>1748</v>
      </c>
      <c r="G1693" t="s">
        <v>39</v>
      </c>
      <c r="H1693">
        <v>5244</v>
      </c>
      <c r="I1693">
        <v>3787.7481580283611</v>
      </c>
      <c r="J1693">
        <v>1456.2518419716389</v>
      </c>
    </row>
    <row r="1694" spans="1:10" x14ac:dyDescent="0.35">
      <c r="A1694" s="1">
        <v>45351</v>
      </c>
      <c r="B1694" t="s">
        <v>10</v>
      </c>
      <c r="C1694" t="s">
        <v>17</v>
      </c>
      <c r="D1694" t="s">
        <v>37</v>
      </c>
      <c r="E1694">
        <v>6</v>
      </c>
      <c r="F1694">
        <v>232</v>
      </c>
      <c r="G1694" t="s">
        <v>38</v>
      </c>
      <c r="H1694">
        <v>1392</v>
      </c>
      <c r="I1694">
        <v>1116.980124160016</v>
      </c>
      <c r="J1694">
        <v>275.0198758399838</v>
      </c>
    </row>
    <row r="1695" spans="1:10" x14ac:dyDescent="0.35">
      <c r="A1695" s="1">
        <v>45626</v>
      </c>
      <c r="B1695" t="s">
        <v>10</v>
      </c>
      <c r="C1695" t="s">
        <v>18</v>
      </c>
      <c r="D1695" t="s">
        <v>31</v>
      </c>
      <c r="E1695">
        <v>11</v>
      </c>
      <c r="F1695">
        <v>1706</v>
      </c>
      <c r="G1695" t="s">
        <v>39</v>
      </c>
      <c r="H1695">
        <v>18766</v>
      </c>
      <c r="I1695">
        <v>13486.624544156241</v>
      </c>
      <c r="J1695">
        <v>5279.3754558437613</v>
      </c>
    </row>
    <row r="1696" spans="1:10" x14ac:dyDescent="0.35">
      <c r="A1696" s="1">
        <v>45513</v>
      </c>
      <c r="B1696" t="s">
        <v>11</v>
      </c>
      <c r="C1696" t="s">
        <v>22</v>
      </c>
      <c r="D1696" t="s">
        <v>33</v>
      </c>
      <c r="E1696">
        <v>17</v>
      </c>
      <c r="F1696">
        <v>182</v>
      </c>
      <c r="G1696" t="s">
        <v>40</v>
      </c>
      <c r="H1696">
        <v>3094</v>
      </c>
      <c r="I1696">
        <v>2298.7983481321739</v>
      </c>
      <c r="J1696">
        <v>795.2016518678256</v>
      </c>
    </row>
    <row r="1697" spans="1:10" x14ac:dyDescent="0.35">
      <c r="A1697" s="1">
        <v>45328</v>
      </c>
      <c r="B1697" t="s">
        <v>12</v>
      </c>
      <c r="C1697" t="s">
        <v>17</v>
      </c>
      <c r="D1697" t="s">
        <v>35</v>
      </c>
      <c r="E1697">
        <v>10</v>
      </c>
      <c r="F1697">
        <v>156</v>
      </c>
      <c r="G1697" t="s">
        <v>38</v>
      </c>
      <c r="H1697">
        <v>1560</v>
      </c>
      <c r="I1697">
        <v>984.16269554748214</v>
      </c>
      <c r="J1697">
        <v>575.83730445251786</v>
      </c>
    </row>
    <row r="1698" spans="1:10" x14ac:dyDescent="0.35">
      <c r="A1698" s="1">
        <v>45569</v>
      </c>
      <c r="B1698" t="s">
        <v>10</v>
      </c>
      <c r="C1698" t="s">
        <v>18</v>
      </c>
      <c r="D1698" t="s">
        <v>36</v>
      </c>
      <c r="E1698">
        <v>12</v>
      </c>
      <c r="F1698">
        <v>475</v>
      </c>
      <c r="G1698" t="s">
        <v>39</v>
      </c>
      <c r="H1698">
        <v>5700</v>
      </c>
      <c r="I1698">
        <v>3433.3523643084532</v>
      </c>
      <c r="J1698">
        <v>2266.6476356915468</v>
      </c>
    </row>
    <row r="1699" spans="1:10" x14ac:dyDescent="0.35">
      <c r="A1699" s="1">
        <v>45487</v>
      </c>
      <c r="B1699" t="s">
        <v>13</v>
      </c>
      <c r="C1699" t="s">
        <v>17</v>
      </c>
      <c r="D1699" t="s">
        <v>37</v>
      </c>
      <c r="E1699">
        <v>17</v>
      </c>
      <c r="F1699">
        <v>448</v>
      </c>
      <c r="G1699" t="s">
        <v>38</v>
      </c>
      <c r="H1699">
        <v>7616</v>
      </c>
      <c r="I1699">
        <v>4695.6092884326654</v>
      </c>
      <c r="J1699">
        <v>2920.3907115673351</v>
      </c>
    </row>
    <row r="1700" spans="1:10" x14ac:dyDescent="0.35">
      <c r="A1700" s="1">
        <v>45643</v>
      </c>
      <c r="B1700" t="s">
        <v>11</v>
      </c>
      <c r="C1700" t="s">
        <v>17</v>
      </c>
      <c r="D1700" t="s">
        <v>37</v>
      </c>
      <c r="E1700">
        <v>4</v>
      </c>
      <c r="F1700">
        <v>370</v>
      </c>
      <c r="G1700" t="s">
        <v>38</v>
      </c>
      <c r="H1700">
        <v>1480</v>
      </c>
      <c r="I1700">
        <v>973.47960857629516</v>
      </c>
      <c r="J1700">
        <v>506.52039142370478</v>
      </c>
    </row>
    <row r="1701" spans="1:10" x14ac:dyDescent="0.35">
      <c r="A1701" s="1">
        <v>45533</v>
      </c>
      <c r="B1701" t="s">
        <v>11</v>
      </c>
      <c r="C1701" t="s">
        <v>23</v>
      </c>
      <c r="D1701" t="s">
        <v>33</v>
      </c>
      <c r="E1701">
        <v>2</v>
      </c>
      <c r="F1701">
        <v>1606</v>
      </c>
      <c r="G1701" t="s">
        <v>39</v>
      </c>
      <c r="H1701">
        <v>3212</v>
      </c>
      <c r="I1701">
        <v>2367.1834405618051</v>
      </c>
      <c r="J1701">
        <v>844.81655943819487</v>
      </c>
    </row>
    <row r="1702" spans="1:10" x14ac:dyDescent="0.35">
      <c r="A1702" s="1">
        <v>45615</v>
      </c>
      <c r="B1702" t="s">
        <v>10</v>
      </c>
      <c r="C1702" t="s">
        <v>18</v>
      </c>
      <c r="D1702" t="s">
        <v>37</v>
      </c>
      <c r="E1702">
        <v>11</v>
      </c>
      <c r="F1702">
        <v>210</v>
      </c>
      <c r="G1702" t="s">
        <v>39</v>
      </c>
      <c r="H1702">
        <v>2310</v>
      </c>
      <c r="I1702">
        <v>1400.548891100058</v>
      </c>
      <c r="J1702">
        <v>909.45110889994248</v>
      </c>
    </row>
    <row r="1703" spans="1:10" x14ac:dyDescent="0.35">
      <c r="A1703" s="1">
        <v>45510</v>
      </c>
      <c r="B1703" t="s">
        <v>11</v>
      </c>
      <c r="C1703" t="s">
        <v>18</v>
      </c>
      <c r="D1703" t="s">
        <v>36</v>
      </c>
      <c r="E1703">
        <v>7</v>
      </c>
      <c r="F1703">
        <v>968</v>
      </c>
      <c r="G1703" t="s">
        <v>39</v>
      </c>
      <c r="H1703">
        <v>6776</v>
      </c>
      <c r="I1703">
        <v>4382.5880000727229</v>
      </c>
      <c r="J1703">
        <v>2393.4119999272771</v>
      </c>
    </row>
    <row r="1704" spans="1:10" x14ac:dyDescent="0.35">
      <c r="A1704" s="1">
        <v>45483</v>
      </c>
      <c r="B1704" t="s">
        <v>10</v>
      </c>
      <c r="C1704" t="s">
        <v>19</v>
      </c>
      <c r="D1704" t="s">
        <v>35</v>
      </c>
      <c r="E1704">
        <v>2</v>
      </c>
      <c r="F1704">
        <v>986</v>
      </c>
      <c r="G1704" t="s">
        <v>40</v>
      </c>
      <c r="H1704">
        <v>1972</v>
      </c>
      <c r="I1704">
        <v>1645.502627658034</v>
      </c>
      <c r="J1704">
        <v>326.49737234196601</v>
      </c>
    </row>
    <row r="1705" spans="1:10" x14ac:dyDescent="0.35">
      <c r="A1705" s="1">
        <v>45308</v>
      </c>
      <c r="B1705" t="s">
        <v>12</v>
      </c>
      <c r="C1705" t="s">
        <v>22</v>
      </c>
      <c r="D1705" t="s">
        <v>33</v>
      </c>
      <c r="E1705">
        <v>18</v>
      </c>
      <c r="F1705">
        <v>175</v>
      </c>
      <c r="G1705" t="s">
        <v>40</v>
      </c>
      <c r="H1705">
        <v>3150</v>
      </c>
      <c r="I1705">
        <v>2610.247397557634</v>
      </c>
      <c r="J1705">
        <v>539.75260244236551</v>
      </c>
    </row>
    <row r="1706" spans="1:10" x14ac:dyDescent="0.35">
      <c r="A1706" s="1">
        <v>45303</v>
      </c>
      <c r="B1706" t="s">
        <v>12</v>
      </c>
      <c r="C1706" t="s">
        <v>23</v>
      </c>
      <c r="D1706" t="s">
        <v>30</v>
      </c>
      <c r="E1706">
        <v>4</v>
      </c>
      <c r="F1706">
        <v>1281</v>
      </c>
      <c r="G1706" t="s">
        <v>39</v>
      </c>
      <c r="H1706">
        <v>5124</v>
      </c>
      <c r="I1706">
        <v>4288.3734043635786</v>
      </c>
      <c r="J1706">
        <v>835.62659563642137</v>
      </c>
    </row>
    <row r="1707" spans="1:10" x14ac:dyDescent="0.35">
      <c r="A1707" s="1">
        <v>45484</v>
      </c>
      <c r="B1707" t="s">
        <v>11</v>
      </c>
      <c r="C1707" t="s">
        <v>17</v>
      </c>
      <c r="D1707" t="s">
        <v>37</v>
      </c>
      <c r="E1707">
        <v>8</v>
      </c>
      <c r="F1707">
        <v>1655</v>
      </c>
      <c r="G1707" t="s">
        <v>38</v>
      </c>
      <c r="H1707">
        <v>13240</v>
      </c>
      <c r="I1707">
        <v>11604.360626377589</v>
      </c>
      <c r="J1707">
        <v>1635.6393736224129</v>
      </c>
    </row>
    <row r="1708" spans="1:10" x14ac:dyDescent="0.35">
      <c r="A1708" s="1">
        <v>45313</v>
      </c>
      <c r="B1708" t="s">
        <v>11</v>
      </c>
      <c r="C1708" t="s">
        <v>17</v>
      </c>
      <c r="D1708" t="s">
        <v>37</v>
      </c>
      <c r="E1708">
        <v>14</v>
      </c>
      <c r="F1708">
        <v>1766</v>
      </c>
      <c r="G1708" t="s">
        <v>38</v>
      </c>
      <c r="H1708">
        <v>24724</v>
      </c>
      <c r="I1708">
        <v>15717.573426648079</v>
      </c>
      <c r="J1708">
        <v>9006.4265733519242</v>
      </c>
    </row>
    <row r="1709" spans="1:10" x14ac:dyDescent="0.35">
      <c r="A1709" s="1">
        <v>45411</v>
      </c>
      <c r="B1709" t="s">
        <v>13</v>
      </c>
      <c r="C1709" t="s">
        <v>19</v>
      </c>
      <c r="D1709" t="s">
        <v>36</v>
      </c>
      <c r="E1709">
        <v>12</v>
      </c>
      <c r="F1709">
        <v>428</v>
      </c>
      <c r="G1709" t="s">
        <v>40</v>
      </c>
      <c r="H1709">
        <v>5136</v>
      </c>
      <c r="I1709">
        <v>3332.9659212919219</v>
      </c>
      <c r="J1709">
        <v>1803.0340787080779</v>
      </c>
    </row>
    <row r="1710" spans="1:10" x14ac:dyDescent="0.35">
      <c r="A1710" s="1">
        <v>45501</v>
      </c>
      <c r="B1710" t="s">
        <v>11</v>
      </c>
      <c r="C1710" t="s">
        <v>22</v>
      </c>
      <c r="D1710" t="s">
        <v>31</v>
      </c>
      <c r="E1710">
        <v>18</v>
      </c>
      <c r="F1710">
        <v>221</v>
      </c>
      <c r="G1710" t="s">
        <v>40</v>
      </c>
      <c r="H1710">
        <v>3978</v>
      </c>
      <c r="I1710">
        <v>2784.8628836652092</v>
      </c>
      <c r="J1710">
        <v>1193.137116334791</v>
      </c>
    </row>
    <row r="1711" spans="1:10" x14ac:dyDescent="0.35">
      <c r="A1711" s="1">
        <v>45597</v>
      </c>
      <c r="B1711" t="s">
        <v>13</v>
      </c>
      <c r="C1711" t="s">
        <v>24</v>
      </c>
      <c r="D1711" t="s">
        <v>31</v>
      </c>
      <c r="F1711">
        <v>140</v>
      </c>
      <c r="G1711" t="s">
        <v>40</v>
      </c>
    </row>
    <row r="1712" spans="1:10" x14ac:dyDescent="0.35">
      <c r="A1712" s="1">
        <v>45561</v>
      </c>
      <c r="B1712" t="s">
        <v>12</v>
      </c>
      <c r="C1712" t="s">
        <v>23</v>
      </c>
      <c r="D1712" t="s">
        <v>34</v>
      </c>
      <c r="E1712">
        <v>8</v>
      </c>
      <c r="F1712">
        <v>1290</v>
      </c>
      <c r="G1712" t="s">
        <v>39</v>
      </c>
      <c r="H1712">
        <v>10320</v>
      </c>
      <c r="I1712">
        <v>8592.8790923464057</v>
      </c>
      <c r="J1712">
        <v>1727.120907653594</v>
      </c>
    </row>
    <row r="1713" spans="1:10" x14ac:dyDescent="0.35">
      <c r="A1713" s="1">
        <v>45483</v>
      </c>
      <c r="B1713" t="s">
        <v>12</v>
      </c>
      <c r="C1713" t="s">
        <v>19</v>
      </c>
      <c r="D1713" t="s">
        <v>37</v>
      </c>
      <c r="E1713">
        <v>2</v>
      </c>
      <c r="F1713">
        <v>1021</v>
      </c>
      <c r="G1713" t="s">
        <v>40</v>
      </c>
      <c r="H1713">
        <v>2042</v>
      </c>
      <c r="I1713">
        <v>1423.756691430779</v>
      </c>
      <c r="J1713">
        <v>618.24330856922097</v>
      </c>
    </row>
    <row r="1714" spans="1:10" x14ac:dyDescent="0.35">
      <c r="A1714" s="1">
        <v>45466</v>
      </c>
      <c r="B1714" t="s">
        <v>10</v>
      </c>
      <c r="C1714" t="s">
        <v>22</v>
      </c>
      <c r="D1714" t="s">
        <v>30</v>
      </c>
      <c r="E1714">
        <v>15</v>
      </c>
      <c r="F1714">
        <v>741</v>
      </c>
      <c r="G1714" t="s">
        <v>40</v>
      </c>
      <c r="H1714">
        <v>11115</v>
      </c>
      <c r="I1714">
        <v>6961.2216343965292</v>
      </c>
      <c r="J1714">
        <v>4153.7783656034708</v>
      </c>
    </row>
    <row r="1715" spans="1:10" x14ac:dyDescent="0.35">
      <c r="A1715" s="1">
        <v>45576</v>
      </c>
      <c r="B1715" t="s">
        <v>12</v>
      </c>
      <c r="C1715" t="s">
        <v>23</v>
      </c>
      <c r="D1715" t="s">
        <v>35</v>
      </c>
      <c r="E1715">
        <v>9</v>
      </c>
      <c r="F1715">
        <v>1146</v>
      </c>
      <c r="G1715" t="s">
        <v>39</v>
      </c>
      <c r="H1715">
        <v>10314</v>
      </c>
      <c r="I1715">
        <v>8095.6030769097224</v>
      </c>
      <c r="J1715">
        <v>2218.3969230902781</v>
      </c>
    </row>
    <row r="1716" spans="1:10" x14ac:dyDescent="0.35">
      <c r="A1716" s="1">
        <v>45495</v>
      </c>
      <c r="B1716" t="s">
        <v>13</v>
      </c>
      <c r="C1716" t="s">
        <v>17</v>
      </c>
      <c r="D1716" t="s">
        <v>33</v>
      </c>
      <c r="E1716">
        <v>19</v>
      </c>
      <c r="F1716">
        <v>378</v>
      </c>
      <c r="G1716" t="s">
        <v>38</v>
      </c>
      <c r="H1716">
        <v>7182</v>
      </c>
      <c r="I1716">
        <v>4862.5425746448591</v>
      </c>
      <c r="J1716">
        <v>2319.4574253551409</v>
      </c>
    </row>
    <row r="1717" spans="1:10" x14ac:dyDescent="0.35">
      <c r="A1717" s="1">
        <v>45455</v>
      </c>
      <c r="B1717" t="s">
        <v>11</v>
      </c>
      <c r="C1717" t="s">
        <v>22</v>
      </c>
      <c r="D1717" t="s">
        <v>37</v>
      </c>
      <c r="E1717">
        <v>8</v>
      </c>
      <c r="F1717">
        <v>862</v>
      </c>
      <c r="G1717" t="s">
        <v>40</v>
      </c>
      <c r="H1717">
        <v>6896</v>
      </c>
      <c r="I1717">
        <v>5236.4484284757427</v>
      </c>
      <c r="J1717">
        <v>1659.551571524257</v>
      </c>
    </row>
    <row r="1718" spans="1:10" x14ac:dyDescent="0.35">
      <c r="A1718" s="1">
        <v>45542</v>
      </c>
      <c r="B1718" t="s">
        <v>10</v>
      </c>
      <c r="C1718" t="s">
        <v>22</v>
      </c>
      <c r="D1718" t="s">
        <v>32</v>
      </c>
      <c r="E1718">
        <v>19</v>
      </c>
      <c r="F1718">
        <v>568</v>
      </c>
      <c r="G1718" t="s">
        <v>40</v>
      </c>
      <c r="H1718">
        <v>10792</v>
      </c>
      <c r="I1718">
        <v>9524.382557044124</v>
      </c>
      <c r="J1718">
        <v>1267.617442955876</v>
      </c>
    </row>
    <row r="1719" spans="1:10" x14ac:dyDescent="0.35">
      <c r="A1719" s="1">
        <v>45518</v>
      </c>
      <c r="B1719" t="s">
        <v>13</v>
      </c>
      <c r="C1719" t="s">
        <v>21</v>
      </c>
      <c r="D1719" t="s">
        <v>33</v>
      </c>
      <c r="E1719">
        <v>5</v>
      </c>
      <c r="F1719">
        <v>1523</v>
      </c>
      <c r="G1719" t="s">
        <v>40</v>
      </c>
      <c r="H1719">
        <v>7615</v>
      </c>
      <c r="I1719">
        <v>5877.1440969205969</v>
      </c>
      <c r="J1719">
        <v>1737.8559030794031</v>
      </c>
    </row>
    <row r="1720" spans="1:10" x14ac:dyDescent="0.35">
      <c r="A1720" s="1">
        <v>45298</v>
      </c>
      <c r="B1720" t="s">
        <v>50</v>
      </c>
      <c r="D1720" t="s">
        <v>34</v>
      </c>
      <c r="E1720">
        <v>11</v>
      </c>
      <c r="F1720">
        <v>108</v>
      </c>
      <c r="G1720" t="s">
        <v>40</v>
      </c>
      <c r="H1720">
        <v>1188</v>
      </c>
      <c r="I1720">
        <v>1042.0545931412869</v>
      </c>
      <c r="J1720">
        <v>145.94540685871311</v>
      </c>
    </row>
    <row r="1721" spans="1:10" x14ac:dyDescent="0.35">
      <c r="A1721" s="1">
        <v>45320</v>
      </c>
      <c r="B1721" t="s">
        <v>10</v>
      </c>
      <c r="C1721" t="s">
        <v>24</v>
      </c>
      <c r="D1721" t="s">
        <v>31</v>
      </c>
      <c r="E1721">
        <v>15</v>
      </c>
      <c r="F1721">
        <v>112</v>
      </c>
      <c r="G1721" t="s">
        <v>40</v>
      </c>
      <c r="H1721">
        <v>1680</v>
      </c>
      <c r="I1721">
        <v>1206.091548141417</v>
      </c>
      <c r="J1721">
        <v>473.90845185858279</v>
      </c>
    </row>
    <row r="1722" spans="1:10" x14ac:dyDescent="0.35">
      <c r="A1722" s="1">
        <v>45324</v>
      </c>
      <c r="B1722" t="s">
        <v>12</v>
      </c>
      <c r="C1722" t="s">
        <v>22</v>
      </c>
      <c r="D1722" t="s">
        <v>30</v>
      </c>
      <c r="E1722">
        <v>8</v>
      </c>
      <c r="F1722">
        <v>1023</v>
      </c>
      <c r="G1722" t="s">
        <v>40</v>
      </c>
      <c r="H1722">
        <v>8184</v>
      </c>
      <c r="I1722">
        <v>6465.4042033113901</v>
      </c>
      <c r="J1722">
        <v>1718.5957966886101</v>
      </c>
    </row>
    <row r="1723" spans="1:10" x14ac:dyDescent="0.35">
      <c r="A1723" s="1">
        <v>45425</v>
      </c>
      <c r="B1723" t="s">
        <v>13</v>
      </c>
      <c r="C1723" t="s">
        <v>24</v>
      </c>
      <c r="D1723" t="s">
        <v>37</v>
      </c>
      <c r="E1723">
        <v>19</v>
      </c>
      <c r="F1723">
        <v>1022</v>
      </c>
      <c r="G1723" t="s">
        <v>40</v>
      </c>
      <c r="H1723">
        <v>19418</v>
      </c>
      <c r="I1723">
        <v>16858.06665423065</v>
      </c>
      <c r="J1723">
        <v>2559.9333457693542</v>
      </c>
    </row>
    <row r="1724" spans="1:10" x14ac:dyDescent="0.35">
      <c r="A1724" s="1">
        <v>45370</v>
      </c>
      <c r="B1724" t="s">
        <v>50</v>
      </c>
      <c r="C1724" t="s">
        <v>17</v>
      </c>
      <c r="D1724" t="s">
        <v>36</v>
      </c>
      <c r="E1724">
        <v>8</v>
      </c>
      <c r="F1724">
        <v>1942</v>
      </c>
      <c r="G1724" t="s">
        <v>38</v>
      </c>
      <c r="H1724">
        <v>15536</v>
      </c>
      <c r="I1724">
        <v>12062.091261947869</v>
      </c>
      <c r="J1724">
        <v>3473.9087380521291</v>
      </c>
    </row>
    <row r="1725" spans="1:10" x14ac:dyDescent="0.35">
      <c r="A1725" s="1">
        <v>45349</v>
      </c>
      <c r="B1725" t="s">
        <v>10</v>
      </c>
      <c r="C1725" t="s">
        <v>24</v>
      </c>
      <c r="D1725" t="s">
        <v>32</v>
      </c>
      <c r="E1725">
        <v>19</v>
      </c>
      <c r="F1725">
        <v>1955</v>
      </c>
      <c r="G1725" t="s">
        <v>40</v>
      </c>
      <c r="H1725">
        <v>37145</v>
      </c>
      <c r="I1725">
        <v>29139.123407451541</v>
      </c>
      <c r="J1725">
        <v>8005.8765925484622</v>
      </c>
    </row>
    <row r="1726" spans="1:10" x14ac:dyDescent="0.35">
      <c r="A1726" s="1">
        <v>45317</v>
      </c>
      <c r="B1726" t="s">
        <v>10</v>
      </c>
      <c r="C1726" t="s">
        <v>23</v>
      </c>
      <c r="D1726" t="s">
        <v>37</v>
      </c>
      <c r="E1726">
        <v>18</v>
      </c>
      <c r="F1726">
        <v>1175</v>
      </c>
      <c r="G1726" t="s">
        <v>39</v>
      </c>
      <c r="H1726">
        <v>21150</v>
      </c>
      <c r="I1726">
        <v>17234.974146305369</v>
      </c>
      <c r="J1726">
        <v>3915.0258536946312</v>
      </c>
    </row>
    <row r="1727" spans="1:10" x14ac:dyDescent="0.35">
      <c r="A1727" s="1">
        <v>45517</v>
      </c>
      <c r="B1727" t="s">
        <v>12</v>
      </c>
      <c r="C1727" t="s">
        <v>17</v>
      </c>
      <c r="D1727" t="s">
        <v>30</v>
      </c>
      <c r="E1727">
        <v>10</v>
      </c>
      <c r="F1727">
        <v>1332</v>
      </c>
      <c r="G1727" t="s">
        <v>38</v>
      </c>
      <c r="H1727">
        <v>13320</v>
      </c>
      <c r="I1727">
        <v>11516.90259772426</v>
      </c>
      <c r="J1727">
        <v>1803.09740227574</v>
      </c>
    </row>
    <row r="1728" spans="1:10" x14ac:dyDescent="0.35">
      <c r="A1728" s="1">
        <v>45576</v>
      </c>
      <c r="B1728" t="s">
        <v>11</v>
      </c>
      <c r="C1728" t="s">
        <v>17</v>
      </c>
      <c r="D1728" t="s">
        <v>34</v>
      </c>
      <c r="E1728">
        <v>7</v>
      </c>
      <c r="F1728">
        <v>1673</v>
      </c>
      <c r="G1728" t="s">
        <v>38</v>
      </c>
      <c r="H1728">
        <v>11711</v>
      </c>
      <c r="I1728">
        <v>7336.4030091574887</v>
      </c>
      <c r="J1728">
        <v>4374.5969908425113</v>
      </c>
    </row>
    <row r="1729" spans="1:10" x14ac:dyDescent="0.35">
      <c r="A1729" s="1">
        <v>45295</v>
      </c>
      <c r="B1729" t="s">
        <v>12</v>
      </c>
      <c r="C1729" t="s">
        <v>24</v>
      </c>
      <c r="D1729" t="s">
        <v>35</v>
      </c>
      <c r="E1729">
        <v>9</v>
      </c>
      <c r="F1729">
        <v>1735</v>
      </c>
      <c r="G1729" t="s">
        <v>40</v>
      </c>
      <c r="H1729">
        <v>15615</v>
      </c>
      <c r="I1729">
        <v>10947.017775803881</v>
      </c>
      <c r="J1729">
        <v>4667.982224196121</v>
      </c>
    </row>
    <row r="1730" spans="1:10" x14ac:dyDescent="0.35">
      <c r="A1730" s="1">
        <v>45390</v>
      </c>
      <c r="B1730" t="s">
        <v>12</v>
      </c>
      <c r="C1730" t="s">
        <v>18</v>
      </c>
      <c r="D1730" t="s">
        <v>32</v>
      </c>
      <c r="E1730">
        <v>1</v>
      </c>
      <c r="F1730">
        <v>1828</v>
      </c>
      <c r="G1730" t="s">
        <v>39</v>
      </c>
      <c r="H1730">
        <v>1828</v>
      </c>
      <c r="I1730">
        <v>1314.890303782603</v>
      </c>
      <c r="J1730">
        <v>513.10969621739696</v>
      </c>
    </row>
    <row r="1731" spans="1:10" x14ac:dyDescent="0.35">
      <c r="A1731" s="1">
        <v>45330</v>
      </c>
      <c r="B1731" t="s">
        <v>11</v>
      </c>
      <c r="C1731" t="s">
        <v>19</v>
      </c>
      <c r="D1731" t="s">
        <v>34</v>
      </c>
      <c r="E1731">
        <v>19</v>
      </c>
      <c r="F1731">
        <v>1525</v>
      </c>
      <c r="G1731" t="s">
        <v>40</v>
      </c>
      <c r="H1731">
        <v>28975</v>
      </c>
      <c r="I1731">
        <v>25292.651266395431</v>
      </c>
      <c r="J1731">
        <v>3682.3487336045732</v>
      </c>
    </row>
    <row r="1732" spans="1:10" x14ac:dyDescent="0.35">
      <c r="A1732" s="1">
        <v>45562</v>
      </c>
      <c r="B1732" t="s">
        <v>11</v>
      </c>
      <c r="D1732" t="s">
        <v>37</v>
      </c>
      <c r="E1732">
        <v>5</v>
      </c>
      <c r="F1732">
        <v>1314</v>
      </c>
      <c r="G1732" t="s">
        <v>38</v>
      </c>
      <c r="H1732">
        <v>6570</v>
      </c>
      <c r="I1732">
        <v>5826.2916192214334</v>
      </c>
      <c r="J1732">
        <v>743.70838077856661</v>
      </c>
    </row>
    <row r="1733" spans="1:10" x14ac:dyDescent="0.35">
      <c r="A1733" s="1">
        <v>45576</v>
      </c>
      <c r="B1733" t="s">
        <v>50</v>
      </c>
      <c r="C1733" t="s">
        <v>18</v>
      </c>
      <c r="E1733">
        <v>19</v>
      </c>
      <c r="F1733">
        <v>1174</v>
      </c>
      <c r="G1733" t="s">
        <v>39</v>
      </c>
      <c r="H1733">
        <v>22306</v>
      </c>
      <c r="I1733">
        <v>14189.16199344608</v>
      </c>
      <c r="J1733">
        <v>8116.8380065539186</v>
      </c>
    </row>
    <row r="1734" spans="1:10" x14ac:dyDescent="0.35">
      <c r="A1734" s="1">
        <v>45448</v>
      </c>
      <c r="B1734" t="s">
        <v>13</v>
      </c>
      <c r="C1734" t="s">
        <v>22</v>
      </c>
      <c r="D1734" t="s">
        <v>32</v>
      </c>
      <c r="E1734">
        <v>1</v>
      </c>
      <c r="F1734">
        <v>1516</v>
      </c>
      <c r="G1734" t="s">
        <v>40</v>
      </c>
      <c r="H1734">
        <v>1516</v>
      </c>
      <c r="I1734">
        <v>963.77017276793754</v>
      </c>
      <c r="J1734">
        <v>552.22982723206246</v>
      </c>
    </row>
    <row r="1735" spans="1:10" x14ac:dyDescent="0.35">
      <c r="A1735" s="1">
        <v>45366</v>
      </c>
      <c r="B1735" t="s">
        <v>11</v>
      </c>
      <c r="C1735" t="s">
        <v>21</v>
      </c>
      <c r="D1735" t="s">
        <v>35</v>
      </c>
      <c r="F1735">
        <v>752</v>
      </c>
      <c r="G1735" t="s">
        <v>40</v>
      </c>
    </row>
    <row r="1736" spans="1:10" x14ac:dyDescent="0.35">
      <c r="A1736" s="1">
        <v>45579</v>
      </c>
      <c r="B1736" t="s">
        <v>10</v>
      </c>
      <c r="C1736" t="s">
        <v>20</v>
      </c>
      <c r="D1736" t="s">
        <v>35</v>
      </c>
      <c r="E1736">
        <v>16</v>
      </c>
      <c r="F1736">
        <v>1803</v>
      </c>
      <c r="G1736" t="s">
        <v>38</v>
      </c>
      <c r="H1736">
        <v>28848</v>
      </c>
      <c r="I1736">
        <v>19868.52834332551</v>
      </c>
      <c r="J1736">
        <v>8979.4716566744901</v>
      </c>
    </row>
    <row r="1737" spans="1:10" x14ac:dyDescent="0.35">
      <c r="A1737" s="1">
        <v>45421</v>
      </c>
      <c r="B1737" t="s">
        <v>12</v>
      </c>
      <c r="C1737" t="s">
        <v>22</v>
      </c>
      <c r="D1737" t="s">
        <v>32</v>
      </c>
      <c r="F1737">
        <v>1946</v>
      </c>
      <c r="G1737" t="s">
        <v>40</v>
      </c>
    </row>
    <row r="1738" spans="1:10" x14ac:dyDescent="0.35">
      <c r="A1738" s="1">
        <v>45466</v>
      </c>
      <c r="B1738" t="s">
        <v>13</v>
      </c>
      <c r="C1738" t="s">
        <v>18</v>
      </c>
      <c r="D1738" t="s">
        <v>32</v>
      </c>
      <c r="E1738">
        <v>12</v>
      </c>
      <c r="F1738">
        <v>720</v>
      </c>
      <c r="G1738" t="s">
        <v>39</v>
      </c>
      <c r="H1738">
        <v>8640</v>
      </c>
      <c r="I1738">
        <v>5276.3344680346236</v>
      </c>
      <c r="J1738">
        <v>3363.665531965376</v>
      </c>
    </row>
    <row r="1739" spans="1:10" x14ac:dyDescent="0.35">
      <c r="A1739" s="1">
        <v>45375</v>
      </c>
      <c r="B1739" t="s">
        <v>11</v>
      </c>
      <c r="C1739" t="s">
        <v>18</v>
      </c>
      <c r="D1739" t="s">
        <v>35</v>
      </c>
      <c r="E1739">
        <v>8</v>
      </c>
      <c r="F1739">
        <v>1842</v>
      </c>
      <c r="G1739" t="s">
        <v>39</v>
      </c>
      <c r="H1739">
        <v>14736</v>
      </c>
      <c r="I1739">
        <v>10059.954508434081</v>
      </c>
      <c r="J1739">
        <v>4676.0454915659157</v>
      </c>
    </row>
    <row r="1740" spans="1:10" x14ac:dyDescent="0.35">
      <c r="A1740" s="1">
        <v>45313</v>
      </c>
      <c r="B1740" t="s">
        <v>13</v>
      </c>
      <c r="C1740" t="s">
        <v>22</v>
      </c>
      <c r="D1740" t="s">
        <v>34</v>
      </c>
      <c r="E1740">
        <v>5</v>
      </c>
      <c r="F1740">
        <v>1423</v>
      </c>
      <c r="G1740" t="s">
        <v>40</v>
      </c>
      <c r="H1740">
        <v>7115</v>
      </c>
      <c r="I1740">
        <v>5749.3321589138714</v>
      </c>
      <c r="J1740">
        <v>1365.6678410861291</v>
      </c>
    </row>
    <row r="1741" spans="1:10" x14ac:dyDescent="0.35">
      <c r="A1741" s="1">
        <v>45318</v>
      </c>
      <c r="B1741" t="s">
        <v>11</v>
      </c>
      <c r="C1741" t="s">
        <v>17</v>
      </c>
      <c r="D1741" t="s">
        <v>30</v>
      </c>
      <c r="E1741">
        <v>10</v>
      </c>
      <c r="F1741">
        <v>1745</v>
      </c>
      <c r="G1741" t="s">
        <v>38</v>
      </c>
      <c r="H1741">
        <v>17450</v>
      </c>
      <c r="I1741">
        <v>12700.29931194161</v>
      </c>
      <c r="J1741">
        <v>4749.700688058394</v>
      </c>
    </row>
    <row r="1742" spans="1:10" x14ac:dyDescent="0.35">
      <c r="A1742" s="1">
        <v>45486</v>
      </c>
      <c r="B1742" t="s">
        <v>50</v>
      </c>
      <c r="C1742" t="s">
        <v>22</v>
      </c>
      <c r="D1742" t="s">
        <v>31</v>
      </c>
      <c r="E1742">
        <v>5</v>
      </c>
      <c r="F1742">
        <v>295</v>
      </c>
      <c r="G1742" t="s">
        <v>40</v>
      </c>
      <c r="H1742">
        <v>1475</v>
      </c>
      <c r="I1742">
        <v>1113.7151306059041</v>
      </c>
      <c r="J1742">
        <v>361.28486939409618</v>
      </c>
    </row>
    <row r="1743" spans="1:10" x14ac:dyDescent="0.35">
      <c r="A1743" s="1">
        <v>45628</v>
      </c>
      <c r="B1743" t="s">
        <v>12</v>
      </c>
      <c r="C1743" t="s">
        <v>21</v>
      </c>
      <c r="D1743" t="s">
        <v>32</v>
      </c>
      <c r="E1743">
        <v>17</v>
      </c>
      <c r="F1743">
        <v>516</v>
      </c>
      <c r="G1743" t="s">
        <v>40</v>
      </c>
      <c r="H1743">
        <v>8772</v>
      </c>
      <c r="I1743">
        <v>7677.155092051732</v>
      </c>
      <c r="J1743">
        <v>1094.844907948268</v>
      </c>
    </row>
    <row r="1744" spans="1:10" x14ac:dyDescent="0.35">
      <c r="A1744" s="1">
        <v>45527</v>
      </c>
      <c r="B1744" t="s">
        <v>12</v>
      </c>
      <c r="C1744" t="s">
        <v>18</v>
      </c>
      <c r="D1744" t="s">
        <v>37</v>
      </c>
      <c r="E1744">
        <v>5</v>
      </c>
      <c r="F1744">
        <v>763</v>
      </c>
      <c r="G1744" t="s">
        <v>39</v>
      </c>
      <c r="H1744">
        <v>3815</v>
      </c>
      <c r="I1744">
        <v>2420.2624562673209</v>
      </c>
      <c r="J1744">
        <v>1394.7375437326789</v>
      </c>
    </row>
    <row r="1745" spans="1:10" x14ac:dyDescent="0.35">
      <c r="A1745" s="1">
        <v>45383</v>
      </c>
      <c r="B1745" t="s">
        <v>10</v>
      </c>
      <c r="C1745" t="s">
        <v>22</v>
      </c>
      <c r="D1745" t="s">
        <v>33</v>
      </c>
      <c r="E1745">
        <v>15</v>
      </c>
      <c r="F1745">
        <v>1543</v>
      </c>
      <c r="G1745" t="s">
        <v>40</v>
      </c>
      <c r="H1745">
        <v>23145</v>
      </c>
      <c r="I1745">
        <v>14381.65990628699</v>
      </c>
      <c r="J1745">
        <v>8763.3400937130136</v>
      </c>
    </row>
    <row r="1746" spans="1:10" x14ac:dyDescent="0.35">
      <c r="A1746" s="1">
        <v>45312</v>
      </c>
      <c r="B1746" t="s">
        <v>10</v>
      </c>
      <c r="C1746" t="s">
        <v>24</v>
      </c>
      <c r="D1746" t="s">
        <v>36</v>
      </c>
      <c r="E1746">
        <v>13</v>
      </c>
      <c r="F1746">
        <v>1878</v>
      </c>
      <c r="G1746" t="s">
        <v>40</v>
      </c>
      <c r="H1746">
        <v>24414</v>
      </c>
      <c r="I1746">
        <v>20888.111192733231</v>
      </c>
      <c r="J1746">
        <v>3525.8888072667719</v>
      </c>
    </row>
    <row r="1747" spans="1:10" x14ac:dyDescent="0.35">
      <c r="A1747" s="1">
        <v>45594</v>
      </c>
      <c r="B1747" t="s">
        <v>11</v>
      </c>
      <c r="C1747" t="s">
        <v>20</v>
      </c>
      <c r="D1747" t="s">
        <v>35</v>
      </c>
      <c r="E1747">
        <v>1</v>
      </c>
      <c r="F1747">
        <v>1763</v>
      </c>
      <c r="G1747" t="s">
        <v>38</v>
      </c>
      <c r="H1747">
        <v>1763</v>
      </c>
      <c r="I1747">
        <v>1467.621231261101</v>
      </c>
      <c r="J1747">
        <v>295.37876873889951</v>
      </c>
    </row>
    <row r="1748" spans="1:10" x14ac:dyDescent="0.35">
      <c r="A1748" s="1">
        <v>45648</v>
      </c>
      <c r="B1748" t="s">
        <v>12</v>
      </c>
      <c r="C1748" t="s">
        <v>24</v>
      </c>
      <c r="D1748" t="s">
        <v>35</v>
      </c>
      <c r="E1748">
        <v>11</v>
      </c>
      <c r="F1748">
        <v>1740</v>
      </c>
      <c r="G1748" t="s">
        <v>40</v>
      </c>
      <c r="H1748">
        <v>19140</v>
      </c>
      <c r="I1748">
        <v>12998.361701438371</v>
      </c>
      <c r="J1748">
        <v>6141.6382985616256</v>
      </c>
    </row>
    <row r="1749" spans="1:10" x14ac:dyDescent="0.35">
      <c r="A1749" s="1">
        <v>45375</v>
      </c>
      <c r="B1749" t="s">
        <v>13</v>
      </c>
      <c r="C1749" t="s">
        <v>21</v>
      </c>
      <c r="D1749" t="s">
        <v>36</v>
      </c>
      <c r="E1749">
        <v>1</v>
      </c>
      <c r="F1749">
        <v>1645</v>
      </c>
      <c r="G1749" t="s">
        <v>40</v>
      </c>
      <c r="H1749">
        <v>1645</v>
      </c>
      <c r="I1749">
        <v>1147.0095413656099</v>
      </c>
      <c r="J1749">
        <v>497.99045863439011</v>
      </c>
    </row>
    <row r="1750" spans="1:10" x14ac:dyDescent="0.35">
      <c r="A1750" s="1">
        <v>45553</v>
      </c>
      <c r="B1750" t="s">
        <v>13</v>
      </c>
      <c r="D1750" t="s">
        <v>31</v>
      </c>
      <c r="E1750">
        <v>11</v>
      </c>
      <c r="F1750">
        <v>1479</v>
      </c>
      <c r="G1750" t="s">
        <v>40</v>
      </c>
      <c r="H1750">
        <v>16269</v>
      </c>
      <c r="I1750">
        <v>11275.773033070271</v>
      </c>
      <c r="J1750">
        <v>4993.2269669297348</v>
      </c>
    </row>
    <row r="1751" spans="1:10" x14ac:dyDescent="0.35">
      <c r="A1751" s="1">
        <v>45438</v>
      </c>
      <c r="B1751" t="s">
        <v>13</v>
      </c>
      <c r="C1751" t="s">
        <v>23</v>
      </c>
      <c r="D1751" t="s">
        <v>36</v>
      </c>
      <c r="E1751">
        <v>18</v>
      </c>
      <c r="F1751">
        <v>247</v>
      </c>
      <c r="G1751" t="s">
        <v>39</v>
      </c>
      <c r="H1751">
        <v>4446</v>
      </c>
      <c r="I1751">
        <v>3531.6473748016251</v>
      </c>
      <c r="J1751">
        <v>914.35262519837488</v>
      </c>
    </row>
    <row r="1752" spans="1:10" x14ac:dyDescent="0.35">
      <c r="A1752" s="1">
        <v>45548</v>
      </c>
      <c r="B1752" t="s">
        <v>10</v>
      </c>
      <c r="C1752" t="s">
        <v>21</v>
      </c>
      <c r="D1752" t="s">
        <v>32</v>
      </c>
      <c r="E1752">
        <v>18</v>
      </c>
      <c r="F1752">
        <v>1100</v>
      </c>
      <c r="G1752" t="s">
        <v>40</v>
      </c>
      <c r="H1752">
        <v>19800</v>
      </c>
      <c r="I1752">
        <v>12243.596351514539</v>
      </c>
      <c r="J1752">
        <v>7556.4036484854641</v>
      </c>
    </row>
    <row r="1753" spans="1:10" x14ac:dyDescent="0.35">
      <c r="A1753" s="1">
        <v>45349</v>
      </c>
      <c r="B1753" t="s">
        <v>13</v>
      </c>
      <c r="C1753" t="s">
        <v>17</v>
      </c>
      <c r="D1753" t="s">
        <v>36</v>
      </c>
      <c r="E1753">
        <v>16</v>
      </c>
      <c r="F1753">
        <v>1488</v>
      </c>
      <c r="G1753" t="s">
        <v>38</v>
      </c>
      <c r="H1753">
        <v>23808</v>
      </c>
      <c r="I1753">
        <v>17780.30188258765</v>
      </c>
      <c r="J1753">
        <v>6027.6981174123539</v>
      </c>
    </row>
    <row r="1754" spans="1:10" x14ac:dyDescent="0.35">
      <c r="A1754" s="1">
        <v>45306</v>
      </c>
      <c r="B1754" t="s">
        <v>10</v>
      </c>
      <c r="C1754" t="s">
        <v>24</v>
      </c>
      <c r="D1754" t="s">
        <v>35</v>
      </c>
      <c r="E1754">
        <v>13</v>
      </c>
      <c r="G1754" t="s">
        <v>40</v>
      </c>
    </row>
    <row r="1755" spans="1:10" x14ac:dyDescent="0.35">
      <c r="A1755" s="1">
        <v>45453</v>
      </c>
      <c r="B1755" t="s">
        <v>10</v>
      </c>
      <c r="C1755" t="s">
        <v>24</v>
      </c>
      <c r="D1755" t="s">
        <v>36</v>
      </c>
      <c r="E1755">
        <v>7</v>
      </c>
      <c r="F1755">
        <v>1775</v>
      </c>
      <c r="G1755" t="s">
        <v>40</v>
      </c>
      <c r="H1755">
        <v>12425</v>
      </c>
      <c r="I1755">
        <v>10510.575411302591</v>
      </c>
      <c r="J1755">
        <v>1914.4245886974111</v>
      </c>
    </row>
    <row r="1756" spans="1:10" x14ac:dyDescent="0.35">
      <c r="A1756" s="1">
        <v>45454</v>
      </c>
      <c r="B1756" t="s">
        <v>11</v>
      </c>
      <c r="C1756" t="s">
        <v>19</v>
      </c>
      <c r="D1756" t="s">
        <v>33</v>
      </c>
      <c r="E1756">
        <v>1</v>
      </c>
      <c r="G1756" t="s">
        <v>40</v>
      </c>
    </row>
    <row r="1757" spans="1:10" x14ac:dyDescent="0.35">
      <c r="A1757" s="1">
        <v>45611</v>
      </c>
      <c r="B1757" t="s">
        <v>13</v>
      </c>
      <c r="C1757" t="s">
        <v>22</v>
      </c>
      <c r="D1757" t="s">
        <v>37</v>
      </c>
      <c r="E1757">
        <v>16</v>
      </c>
      <c r="F1757">
        <v>501</v>
      </c>
      <c r="G1757" t="s">
        <v>40</v>
      </c>
      <c r="H1757">
        <v>8016</v>
      </c>
      <c r="I1757">
        <v>6078.305610254155</v>
      </c>
      <c r="J1757">
        <v>1937.694389745845</v>
      </c>
    </row>
    <row r="1758" spans="1:10" x14ac:dyDescent="0.35">
      <c r="A1758" s="1">
        <v>45572</v>
      </c>
      <c r="B1758" t="s">
        <v>13</v>
      </c>
      <c r="C1758" t="s">
        <v>17</v>
      </c>
      <c r="D1758" t="s">
        <v>32</v>
      </c>
      <c r="E1758">
        <v>1</v>
      </c>
      <c r="F1758">
        <v>705</v>
      </c>
      <c r="G1758" t="s">
        <v>38</v>
      </c>
      <c r="H1758">
        <v>705</v>
      </c>
      <c r="I1758">
        <v>429.20067425671323</v>
      </c>
      <c r="J1758">
        <v>275.79932574328677</v>
      </c>
    </row>
    <row r="1759" spans="1:10" x14ac:dyDescent="0.35">
      <c r="A1759" s="1">
        <v>45571</v>
      </c>
      <c r="B1759" t="s">
        <v>12</v>
      </c>
      <c r="C1759" t="s">
        <v>23</v>
      </c>
      <c r="D1759" t="s">
        <v>36</v>
      </c>
      <c r="E1759">
        <v>17</v>
      </c>
      <c r="F1759">
        <v>1615</v>
      </c>
      <c r="G1759" t="s">
        <v>39</v>
      </c>
      <c r="H1759">
        <v>27455</v>
      </c>
      <c r="I1759">
        <v>16952.894018480882</v>
      </c>
      <c r="J1759">
        <v>10502.10598151912</v>
      </c>
    </row>
    <row r="1760" spans="1:10" x14ac:dyDescent="0.35">
      <c r="A1760" s="1">
        <v>45303</v>
      </c>
      <c r="B1760" t="s">
        <v>11</v>
      </c>
      <c r="C1760" t="s">
        <v>24</v>
      </c>
      <c r="D1760" t="s">
        <v>35</v>
      </c>
      <c r="E1760">
        <v>6</v>
      </c>
      <c r="G1760" t="s">
        <v>40</v>
      </c>
    </row>
    <row r="1761" spans="1:10" x14ac:dyDescent="0.35">
      <c r="A1761" s="1">
        <v>45565</v>
      </c>
      <c r="B1761" t="s">
        <v>12</v>
      </c>
      <c r="C1761" t="s">
        <v>24</v>
      </c>
      <c r="D1761" t="s">
        <v>34</v>
      </c>
      <c r="E1761">
        <v>2</v>
      </c>
      <c r="F1761">
        <v>1698</v>
      </c>
      <c r="G1761" t="s">
        <v>40</v>
      </c>
      <c r="H1761">
        <v>3396</v>
      </c>
      <c r="I1761">
        <v>2818.7858313899892</v>
      </c>
      <c r="J1761">
        <v>577.2141686100108</v>
      </c>
    </row>
    <row r="1762" spans="1:10" x14ac:dyDescent="0.35">
      <c r="A1762" s="1">
        <v>45562</v>
      </c>
      <c r="B1762" t="s">
        <v>11</v>
      </c>
      <c r="C1762" t="s">
        <v>17</v>
      </c>
      <c r="D1762" t="s">
        <v>37</v>
      </c>
      <c r="E1762">
        <v>17</v>
      </c>
      <c r="F1762">
        <v>1975</v>
      </c>
      <c r="G1762" t="s">
        <v>38</v>
      </c>
      <c r="H1762">
        <v>33575</v>
      </c>
      <c r="I1762">
        <v>27296.833425905668</v>
      </c>
      <c r="J1762">
        <v>6278.1665740943281</v>
      </c>
    </row>
    <row r="1763" spans="1:10" x14ac:dyDescent="0.35">
      <c r="A1763" s="1">
        <v>45499</v>
      </c>
      <c r="B1763" t="s">
        <v>13</v>
      </c>
      <c r="C1763" t="s">
        <v>21</v>
      </c>
      <c r="D1763" t="s">
        <v>32</v>
      </c>
      <c r="E1763">
        <v>6</v>
      </c>
      <c r="F1763">
        <v>636</v>
      </c>
      <c r="G1763" t="s">
        <v>40</v>
      </c>
      <c r="H1763">
        <v>3816</v>
      </c>
      <c r="I1763">
        <v>3133.3389350169591</v>
      </c>
      <c r="J1763">
        <v>682.66106498304134</v>
      </c>
    </row>
    <row r="1764" spans="1:10" x14ac:dyDescent="0.35">
      <c r="A1764" s="1">
        <v>45318</v>
      </c>
      <c r="B1764" t="s">
        <v>10</v>
      </c>
      <c r="C1764" t="s">
        <v>21</v>
      </c>
      <c r="D1764" t="s">
        <v>35</v>
      </c>
      <c r="E1764">
        <v>14</v>
      </c>
      <c r="F1764">
        <v>367</v>
      </c>
      <c r="G1764" t="s">
        <v>40</v>
      </c>
      <c r="H1764">
        <v>5138</v>
      </c>
      <c r="I1764">
        <v>3244.0610376367349</v>
      </c>
      <c r="J1764">
        <v>1893.9389623632651</v>
      </c>
    </row>
    <row r="1765" spans="1:10" x14ac:dyDescent="0.35">
      <c r="A1765" s="1">
        <v>45363</v>
      </c>
      <c r="B1765" t="s">
        <v>10</v>
      </c>
      <c r="C1765" t="s">
        <v>22</v>
      </c>
      <c r="D1765" t="s">
        <v>31</v>
      </c>
      <c r="E1765">
        <v>18</v>
      </c>
      <c r="F1765">
        <v>1528</v>
      </c>
      <c r="G1765" t="s">
        <v>40</v>
      </c>
      <c r="H1765">
        <v>27504</v>
      </c>
      <c r="I1765">
        <v>22224.201580064029</v>
      </c>
      <c r="J1765">
        <v>5279.7984199359707</v>
      </c>
    </row>
    <row r="1766" spans="1:10" x14ac:dyDescent="0.35">
      <c r="A1766" s="1">
        <v>45351</v>
      </c>
      <c r="B1766" t="s">
        <v>10</v>
      </c>
      <c r="C1766" t="s">
        <v>18</v>
      </c>
      <c r="D1766" t="s">
        <v>33</v>
      </c>
      <c r="E1766">
        <v>6</v>
      </c>
      <c r="F1766">
        <v>1916</v>
      </c>
      <c r="G1766" t="s">
        <v>39</v>
      </c>
      <c r="H1766">
        <v>11496</v>
      </c>
      <c r="I1766">
        <v>7524.4110631781459</v>
      </c>
      <c r="J1766">
        <v>3971.5889368218541</v>
      </c>
    </row>
    <row r="1767" spans="1:10" x14ac:dyDescent="0.35">
      <c r="A1767" s="1">
        <v>45436</v>
      </c>
      <c r="B1767" t="s">
        <v>10</v>
      </c>
      <c r="C1767" t="s">
        <v>19</v>
      </c>
      <c r="D1767" t="s">
        <v>30</v>
      </c>
      <c r="E1767">
        <v>10</v>
      </c>
      <c r="F1767">
        <v>1134</v>
      </c>
      <c r="G1767" t="s">
        <v>40</v>
      </c>
      <c r="H1767">
        <v>11340</v>
      </c>
      <c r="I1767">
        <v>7137.4484992448233</v>
      </c>
      <c r="J1767">
        <v>4202.5515007551767</v>
      </c>
    </row>
    <row r="1768" spans="1:10" x14ac:dyDescent="0.35">
      <c r="A1768" s="1">
        <v>45384</v>
      </c>
      <c r="B1768" t="s">
        <v>10</v>
      </c>
      <c r="C1768" t="s">
        <v>24</v>
      </c>
      <c r="D1768" t="s">
        <v>31</v>
      </c>
      <c r="E1768">
        <v>18</v>
      </c>
      <c r="F1768">
        <v>1443</v>
      </c>
      <c r="G1768" t="s">
        <v>40</v>
      </c>
      <c r="H1768">
        <v>25974</v>
      </c>
      <c r="I1768">
        <v>21484.348623070211</v>
      </c>
      <c r="J1768">
        <v>4489.6513769297853</v>
      </c>
    </row>
    <row r="1769" spans="1:10" x14ac:dyDescent="0.35">
      <c r="A1769" s="1">
        <v>45600</v>
      </c>
      <c r="B1769" t="s">
        <v>12</v>
      </c>
      <c r="C1769" t="s">
        <v>18</v>
      </c>
      <c r="D1769" t="s">
        <v>30</v>
      </c>
      <c r="E1769">
        <v>9</v>
      </c>
      <c r="F1769">
        <v>1836</v>
      </c>
      <c r="G1769" t="s">
        <v>39</v>
      </c>
      <c r="H1769">
        <v>16524</v>
      </c>
      <c r="I1769">
        <v>14323.36400369588</v>
      </c>
      <c r="J1769">
        <v>2200.6359963041209</v>
      </c>
    </row>
    <row r="1770" spans="1:10" x14ac:dyDescent="0.35">
      <c r="A1770" s="1">
        <v>45299</v>
      </c>
      <c r="B1770" t="s">
        <v>11</v>
      </c>
      <c r="C1770" t="s">
        <v>18</v>
      </c>
      <c r="D1770" t="s">
        <v>33</v>
      </c>
      <c r="E1770">
        <v>8</v>
      </c>
      <c r="F1770">
        <v>225</v>
      </c>
      <c r="G1770" t="s">
        <v>39</v>
      </c>
      <c r="H1770">
        <v>1800</v>
      </c>
      <c r="I1770">
        <v>1467.023349998786</v>
      </c>
      <c r="J1770">
        <v>332.97665000121452</v>
      </c>
    </row>
    <row r="1771" spans="1:10" x14ac:dyDescent="0.35">
      <c r="A1771" s="1">
        <v>45370</v>
      </c>
      <c r="B1771" t="s">
        <v>13</v>
      </c>
      <c r="C1771" t="s">
        <v>19</v>
      </c>
      <c r="D1771" t="s">
        <v>36</v>
      </c>
      <c r="E1771">
        <v>10</v>
      </c>
      <c r="F1771">
        <v>405</v>
      </c>
      <c r="G1771" t="s">
        <v>40</v>
      </c>
      <c r="H1771">
        <v>4050</v>
      </c>
      <c r="I1771">
        <v>3408.771745169925</v>
      </c>
      <c r="J1771">
        <v>641.22825483007455</v>
      </c>
    </row>
    <row r="1772" spans="1:10" x14ac:dyDescent="0.35">
      <c r="A1772" s="1">
        <v>45318</v>
      </c>
      <c r="B1772" t="s">
        <v>12</v>
      </c>
      <c r="C1772" t="s">
        <v>18</v>
      </c>
      <c r="D1772" t="s">
        <v>32</v>
      </c>
      <c r="E1772">
        <v>17</v>
      </c>
      <c r="F1772">
        <v>1825</v>
      </c>
      <c r="G1772" t="s">
        <v>39</v>
      </c>
      <c r="H1772">
        <v>31025</v>
      </c>
      <c r="I1772">
        <v>27839.553003794441</v>
      </c>
      <c r="J1772">
        <v>3185.4469962055591</v>
      </c>
    </row>
    <row r="1773" spans="1:10" x14ac:dyDescent="0.35">
      <c r="A1773" s="1">
        <v>45465</v>
      </c>
      <c r="B1773" t="s">
        <v>11</v>
      </c>
      <c r="C1773" t="s">
        <v>18</v>
      </c>
      <c r="D1773" t="s">
        <v>36</v>
      </c>
      <c r="E1773">
        <v>6</v>
      </c>
      <c r="F1773">
        <v>1634</v>
      </c>
      <c r="G1773" t="s">
        <v>39</v>
      </c>
      <c r="H1773">
        <v>9804</v>
      </c>
      <c r="I1773">
        <v>6278.7440866293409</v>
      </c>
      <c r="J1773">
        <v>3525.2559133706591</v>
      </c>
    </row>
    <row r="1774" spans="1:10" x14ac:dyDescent="0.35">
      <c r="A1774" s="1">
        <v>45341</v>
      </c>
      <c r="B1774" t="s">
        <v>10</v>
      </c>
      <c r="C1774" t="s">
        <v>21</v>
      </c>
      <c r="D1774" t="s">
        <v>33</v>
      </c>
      <c r="E1774">
        <v>14</v>
      </c>
      <c r="F1774">
        <v>1212</v>
      </c>
      <c r="G1774" t="s">
        <v>40</v>
      </c>
      <c r="H1774">
        <v>16968</v>
      </c>
      <c r="I1774">
        <v>15093.812552905139</v>
      </c>
      <c r="J1774">
        <v>1874.1874470948619</v>
      </c>
    </row>
    <row r="1775" spans="1:10" x14ac:dyDescent="0.35">
      <c r="A1775" s="1">
        <v>45490</v>
      </c>
      <c r="B1775" t="s">
        <v>11</v>
      </c>
      <c r="C1775" t="s">
        <v>21</v>
      </c>
      <c r="D1775" t="s">
        <v>33</v>
      </c>
      <c r="E1775">
        <v>6</v>
      </c>
      <c r="F1775">
        <v>1478</v>
      </c>
      <c r="G1775" t="s">
        <v>40</v>
      </c>
      <c r="H1775">
        <v>8868</v>
      </c>
      <c r="I1775">
        <v>6920.2266417258679</v>
      </c>
      <c r="J1775">
        <v>1947.7733582741321</v>
      </c>
    </row>
    <row r="1776" spans="1:10" x14ac:dyDescent="0.35">
      <c r="A1776" s="1">
        <v>45640</v>
      </c>
      <c r="B1776" t="s">
        <v>11</v>
      </c>
      <c r="C1776" t="s">
        <v>20</v>
      </c>
      <c r="D1776" t="s">
        <v>33</v>
      </c>
      <c r="E1776">
        <v>7</v>
      </c>
      <c r="F1776">
        <v>727</v>
      </c>
      <c r="G1776" t="s">
        <v>38</v>
      </c>
      <c r="H1776">
        <v>5089</v>
      </c>
      <c r="I1776">
        <v>4294.9935953186432</v>
      </c>
      <c r="J1776">
        <v>794.0064046813568</v>
      </c>
    </row>
    <row r="1777" spans="1:10" x14ac:dyDescent="0.35">
      <c r="A1777" s="1">
        <v>45472</v>
      </c>
      <c r="B1777" t="s">
        <v>10</v>
      </c>
      <c r="C1777" t="s">
        <v>23</v>
      </c>
      <c r="D1777" t="s">
        <v>30</v>
      </c>
      <c r="E1777">
        <v>12</v>
      </c>
      <c r="F1777">
        <v>1475</v>
      </c>
      <c r="G1777" t="s">
        <v>39</v>
      </c>
      <c r="H1777">
        <v>17700</v>
      </c>
      <c r="I1777">
        <v>14072.39835423053</v>
      </c>
      <c r="J1777">
        <v>3627.6016457694709</v>
      </c>
    </row>
    <row r="1778" spans="1:10" x14ac:dyDescent="0.35">
      <c r="A1778" s="1">
        <v>45315</v>
      </c>
      <c r="B1778" t="s">
        <v>10</v>
      </c>
      <c r="C1778" t="s">
        <v>22</v>
      </c>
      <c r="D1778" t="s">
        <v>37</v>
      </c>
      <c r="E1778">
        <v>3</v>
      </c>
      <c r="F1778">
        <v>788</v>
      </c>
      <c r="G1778" t="s">
        <v>40</v>
      </c>
      <c r="H1778">
        <v>2364</v>
      </c>
      <c r="I1778">
        <v>1822.6707998065699</v>
      </c>
      <c r="J1778">
        <v>541.32920019343032</v>
      </c>
    </row>
    <row r="1779" spans="1:10" x14ac:dyDescent="0.35">
      <c r="A1779" s="1">
        <v>45607</v>
      </c>
      <c r="B1779" t="s">
        <v>10</v>
      </c>
      <c r="C1779" t="s">
        <v>18</v>
      </c>
      <c r="D1779" t="s">
        <v>35</v>
      </c>
      <c r="E1779">
        <v>14</v>
      </c>
      <c r="F1779">
        <v>1137</v>
      </c>
      <c r="G1779" t="s">
        <v>39</v>
      </c>
      <c r="H1779">
        <v>15918</v>
      </c>
      <c r="I1779">
        <v>12910.862144051171</v>
      </c>
      <c r="J1779">
        <v>3007.137855948833</v>
      </c>
    </row>
    <row r="1780" spans="1:10" x14ac:dyDescent="0.35">
      <c r="A1780" s="1">
        <v>45337</v>
      </c>
      <c r="B1780" t="s">
        <v>13</v>
      </c>
      <c r="C1780" t="s">
        <v>20</v>
      </c>
      <c r="D1780" t="s">
        <v>32</v>
      </c>
      <c r="E1780">
        <v>19</v>
      </c>
      <c r="F1780">
        <v>1380</v>
      </c>
      <c r="G1780" t="s">
        <v>38</v>
      </c>
      <c r="H1780">
        <v>26220</v>
      </c>
      <c r="I1780">
        <v>18251.154655059119</v>
      </c>
      <c r="J1780">
        <v>7968.8453449408771</v>
      </c>
    </row>
    <row r="1781" spans="1:10" x14ac:dyDescent="0.35">
      <c r="A1781" s="1">
        <v>45306</v>
      </c>
      <c r="B1781" t="s">
        <v>10</v>
      </c>
      <c r="C1781" t="s">
        <v>23</v>
      </c>
      <c r="D1781" t="s">
        <v>36</v>
      </c>
      <c r="E1781">
        <v>16</v>
      </c>
      <c r="F1781">
        <v>1332</v>
      </c>
      <c r="G1781" t="s">
        <v>39</v>
      </c>
      <c r="H1781">
        <v>21312</v>
      </c>
      <c r="I1781">
        <v>18696.622412597892</v>
      </c>
      <c r="J1781">
        <v>2615.377587402108</v>
      </c>
    </row>
    <row r="1782" spans="1:10" x14ac:dyDescent="0.35">
      <c r="A1782" s="1">
        <v>45444</v>
      </c>
      <c r="B1782" t="s">
        <v>13</v>
      </c>
      <c r="C1782" t="s">
        <v>20</v>
      </c>
      <c r="D1782" t="s">
        <v>36</v>
      </c>
      <c r="E1782">
        <v>7</v>
      </c>
      <c r="F1782">
        <v>380</v>
      </c>
      <c r="G1782" t="s">
        <v>38</v>
      </c>
      <c r="H1782">
        <v>2660</v>
      </c>
      <c r="I1782">
        <v>1688.003472500511</v>
      </c>
      <c r="J1782">
        <v>971.99652749948859</v>
      </c>
    </row>
    <row r="1783" spans="1:10" x14ac:dyDescent="0.35">
      <c r="A1783" s="1">
        <v>45513</v>
      </c>
      <c r="B1783" t="s">
        <v>10</v>
      </c>
      <c r="C1783" t="s">
        <v>20</v>
      </c>
      <c r="D1783" t="s">
        <v>31</v>
      </c>
      <c r="E1783">
        <v>8</v>
      </c>
      <c r="F1783">
        <v>542</v>
      </c>
      <c r="G1783" t="s">
        <v>38</v>
      </c>
      <c r="H1783">
        <v>4336</v>
      </c>
      <c r="I1783">
        <v>3015.29496425967</v>
      </c>
      <c r="J1783">
        <v>1320.70503574033</v>
      </c>
    </row>
    <row r="1784" spans="1:10" x14ac:dyDescent="0.35">
      <c r="A1784" s="1">
        <v>45497</v>
      </c>
      <c r="B1784" t="s">
        <v>13</v>
      </c>
      <c r="C1784" t="s">
        <v>22</v>
      </c>
      <c r="D1784" t="s">
        <v>30</v>
      </c>
      <c r="E1784">
        <v>18</v>
      </c>
      <c r="F1784">
        <v>1963</v>
      </c>
      <c r="G1784" t="s">
        <v>40</v>
      </c>
      <c r="H1784">
        <v>35334</v>
      </c>
      <c r="I1784">
        <v>21530.72717639598</v>
      </c>
      <c r="J1784">
        <v>13803.27282360402</v>
      </c>
    </row>
    <row r="1785" spans="1:10" x14ac:dyDescent="0.35">
      <c r="A1785" s="1">
        <v>45564</v>
      </c>
      <c r="B1785" t="s">
        <v>11</v>
      </c>
      <c r="C1785" t="s">
        <v>22</v>
      </c>
      <c r="E1785">
        <v>13</v>
      </c>
      <c r="F1785">
        <v>936</v>
      </c>
      <c r="G1785" t="s">
        <v>40</v>
      </c>
      <c r="H1785">
        <v>12168</v>
      </c>
      <c r="I1785">
        <v>8291.237653127293</v>
      </c>
      <c r="J1785">
        <v>3876.762346872707</v>
      </c>
    </row>
    <row r="1786" spans="1:10" x14ac:dyDescent="0.35">
      <c r="A1786" s="1">
        <v>45527</v>
      </c>
      <c r="B1786" t="s">
        <v>12</v>
      </c>
      <c r="C1786" t="s">
        <v>17</v>
      </c>
      <c r="D1786" t="s">
        <v>34</v>
      </c>
      <c r="E1786">
        <v>9</v>
      </c>
      <c r="F1786">
        <v>488</v>
      </c>
      <c r="G1786" t="s">
        <v>38</v>
      </c>
      <c r="H1786">
        <v>4392</v>
      </c>
      <c r="I1786">
        <v>2922.717550441515</v>
      </c>
      <c r="J1786">
        <v>1469.282449558485</v>
      </c>
    </row>
    <row r="1787" spans="1:10" x14ac:dyDescent="0.35">
      <c r="A1787" s="1">
        <v>45631</v>
      </c>
      <c r="B1787" t="s">
        <v>11</v>
      </c>
      <c r="C1787" t="s">
        <v>19</v>
      </c>
      <c r="D1787" t="s">
        <v>33</v>
      </c>
      <c r="E1787">
        <v>10</v>
      </c>
      <c r="F1787">
        <v>716</v>
      </c>
      <c r="G1787" t="s">
        <v>40</v>
      </c>
      <c r="H1787">
        <v>7160</v>
      </c>
      <c r="I1787">
        <v>4402.6070887376991</v>
      </c>
      <c r="J1787">
        <v>2757.3929112623009</v>
      </c>
    </row>
    <row r="1788" spans="1:10" x14ac:dyDescent="0.35">
      <c r="A1788" s="1">
        <v>45519</v>
      </c>
      <c r="B1788" t="s">
        <v>11</v>
      </c>
      <c r="C1788" t="s">
        <v>19</v>
      </c>
      <c r="D1788" t="s">
        <v>33</v>
      </c>
      <c r="E1788">
        <v>9</v>
      </c>
      <c r="F1788">
        <v>1606</v>
      </c>
      <c r="G1788" t="s">
        <v>40</v>
      </c>
      <c r="H1788">
        <v>14454</v>
      </c>
      <c r="I1788">
        <v>10804.83069566039</v>
      </c>
      <c r="J1788">
        <v>3649.1693043396058</v>
      </c>
    </row>
    <row r="1789" spans="1:10" x14ac:dyDescent="0.35">
      <c r="A1789" s="1">
        <v>45300</v>
      </c>
      <c r="B1789" t="s">
        <v>10</v>
      </c>
      <c r="C1789" t="s">
        <v>17</v>
      </c>
      <c r="D1789" t="s">
        <v>34</v>
      </c>
      <c r="E1789">
        <v>15</v>
      </c>
      <c r="F1789">
        <v>246</v>
      </c>
      <c r="G1789" t="s">
        <v>38</v>
      </c>
      <c r="H1789">
        <v>3690</v>
      </c>
      <c r="I1789">
        <v>2732.7800983341599</v>
      </c>
      <c r="J1789">
        <v>957.2199016658401</v>
      </c>
    </row>
    <row r="1790" spans="1:10" x14ac:dyDescent="0.35">
      <c r="A1790" s="1">
        <v>45457</v>
      </c>
      <c r="B1790" t="s">
        <v>13</v>
      </c>
      <c r="C1790" t="s">
        <v>29</v>
      </c>
      <c r="D1790" t="s">
        <v>36</v>
      </c>
      <c r="E1790">
        <v>2</v>
      </c>
      <c r="F1790">
        <v>1402</v>
      </c>
      <c r="G1790" t="s">
        <v>38</v>
      </c>
      <c r="H1790">
        <v>2804</v>
      </c>
      <c r="I1790">
        <v>1747.7994674075601</v>
      </c>
      <c r="J1790">
        <v>1056.2005325924399</v>
      </c>
    </row>
    <row r="1791" spans="1:10" x14ac:dyDescent="0.35">
      <c r="A1791" s="1">
        <v>45610</v>
      </c>
      <c r="B1791" t="s">
        <v>12</v>
      </c>
      <c r="C1791" t="s">
        <v>21</v>
      </c>
      <c r="D1791" t="s">
        <v>31</v>
      </c>
      <c r="E1791">
        <v>13</v>
      </c>
      <c r="F1791">
        <v>620</v>
      </c>
      <c r="G1791" t="s">
        <v>40</v>
      </c>
      <c r="H1791">
        <v>8060</v>
      </c>
      <c r="I1791">
        <v>5469.1545849455451</v>
      </c>
      <c r="J1791">
        <v>2590.8454150544549</v>
      </c>
    </row>
    <row r="1792" spans="1:10" x14ac:dyDescent="0.35">
      <c r="A1792" s="1">
        <v>45505</v>
      </c>
      <c r="B1792" t="s">
        <v>10</v>
      </c>
      <c r="C1792" t="s">
        <v>23</v>
      </c>
      <c r="D1792" t="s">
        <v>35</v>
      </c>
      <c r="E1792">
        <v>2</v>
      </c>
      <c r="F1792">
        <v>729</v>
      </c>
      <c r="G1792" t="s">
        <v>39</v>
      </c>
      <c r="H1792">
        <v>1458</v>
      </c>
      <c r="I1792">
        <v>1291.7831129879839</v>
      </c>
      <c r="J1792">
        <v>166.2168870120158</v>
      </c>
    </row>
    <row r="1793" spans="1:10" x14ac:dyDescent="0.35">
      <c r="A1793" s="1">
        <v>45408</v>
      </c>
      <c r="B1793" t="s">
        <v>10</v>
      </c>
      <c r="C1793" t="s">
        <v>20</v>
      </c>
      <c r="D1793" t="s">
        <v>34</v>
      </c>
      <c r="E1793">
        <v>19</v>
      </c>
      <c r="F1793">
        <v>1729</v>
      </c>
      <c r="G1793" t="s">
        <v>38</v>
      </c>
      <c r="H1793">
        <v>32851</v>
      </c>
      <c r="I1793">
        <v>20801.942655537539</v>
      </c>
      <c r="J1793">
        <v>12049.057344462461</v>
      </c>
    </row>
    <row r="1794" spans="1:10" x14ac:dyDescent="0.35">
      <c r="A1794" s="1">
        <v>45635</v>
      </c>
      <c r="B1794" t="s">
        <v>10</v>
      </c>
      <c r="C1794" t="s">
        <v>18</v>
      </c>
      <c r="D1794" t="s">
        <v>30</v>
      </c>
      <c r="E1794">
        <v>2</v>
      </c>
      <c r="F1794">
        <v>533</v>
      </c>
      <c r="G1794" t="s">
        <v>39</v>
      </c>
      <c r="H1794">
        <v>1066</v>
      </c>
      <c r="I1794">
        <v>737.1449639052579</v>
      </c>
      <c r="J1794">
        <v>328.8550360947421</v>
      </c>
    </row>
    <row r="1795" spans="1:10" x14ac:dyDescent="0.35">
      <c r="A1795" s="1">
        <v>45363</v>
      </c>
      <c r="B1795" t="s">
        <v>11</v>
      </c>
      <c r="C1795" t="s">
        <v>17</v>
      </c>
      <c r="D1795" t="s">
        <v>37</v>
      </c>
      <c r="E1795">
        <v>3</v>
      </c>
      <c r="F1795">
        <v>243</v>
      </c>
      <c r="G1795" t="s">
        <v>38</v>
      </c>
      <c r="H1795">
        <v>729</v>
      </c>
      <c r="I1795">
        <v>445.24310654203379</v>
      </c>
      <c r="J1795">
        <v>283.75689345796621</v>
      </c>
    </row>
    <row r="1796" spans="1:10" x14ac:dyDescent="0.35">
      <c r="A1796" s="1">
        <v>45355</v>
      </c>
      <c r="B1796" t="s">
        <v>13</v>
      </c>
      <c r="C1796" t="s">
        <v>24</v>
      </c>
      <c r="D1796" t="s">
        <v>32</v>
      </c>
      <c r="E1796">
        <v>6</v>
      </c>
      <c r="F1796">
        <v>388</v>
      </c>
      <c r="G1796" t="s">
        <v>40</v>
      </c>
      <c r="H1796">
        <v>2328</v>
      </c>
      <c r="I1796">
        <v>1500.7828223124391</v>
      </c>
      <c r="J1796">
        <v>827.21717768756139</v>
      </c>
    </row>
    <row r="1797" spans="1:10" x14ac:dyDescent="0.35">
      <c r="A1797" s="1">
        <v>45496</v>
      </c>
      <c r="B1797" t="s">
        <v>13</v>
      </c>
      <c r="C1797" t="s">
        <v>19</v>
      </c>
      <c r="D1797" t="s">
        <v>30</v>
      </c>
      <c r="E1797">
        <v>3</v>
      </c>
      <c r="F1797">
        <v>1509</v>
      </c>
      <c r="G1797" t="s">
        <v>40</v>
      </c>
      <c r="H1797">
        <v>4527</v>
      </c>
      <c r="I1797">
        <v>3666.0512116492891</v>
      </c>
      <c r="J1797">
        <v>860.94878835071086</v>
      </c>
    </row>
    <row r="1798" spans="1:10" x14ac:dyDescent="0.35">
      <c r="A1798" s="1">
        <v>45500</v>
      </c>
      <c r="B1798" t="s">
        <v>12</v>
      </c>
      <c r="C1798" t="s">
        <v>17</v>
      </c>
      <c r="D1798" t="s">
        <v>34</v>
      </c>
      <c r="E1798">
        <v>10</v>
      </c>
      <c r="F1798">
        <v>113</v>
      </c>
      <c r="G1798" t="s">
        <v>38</v>
      </c>
      <c r="H1798">
        <v>1130</v>
      </c>
      <c r="I1798">
        <v>802.31689372473625</v>
      </c>
      <c r="J1798">
        <v>327.68310627526381</v>
      </c>
    </row>
    <row r="1799" spans="1:10" x14ac:dyDescent="0.35">
      <c r="A1799" s="1">
        <v>45363</v>
      </c>
      <c r="B1799" t="s">
        <v>13</v>
      </c>
      <c r="D1799" t="s">
        <v>35</v>
      </c>
      <c r="E1799">
        <v>6</v>
      </c>
      <c r="F1799">
        <v>356</v>
      </c>
      <c r="G1799" t="s">
        <v>40</v>
      </c>
      <c r="H1799">
        <v>2136</v>
      </c>
      <c r="I1799">
        <v>1571.29066649118</v>
      </c>
      <c r="J1799">
        <v>564.70933350881978</v>
      </c>
    </row>
    <row r="1800" spans="1:10" x14ac:dyDescent="0.35">
      <c r="A1800" s="1">
        <v>45568</v>
      </c>
      <c r="B1800" t="s">
        <v>13</v>
      </c>
      <c r="C1800" t="s">
        <v>24</v>
      </c>
      <c r="D1800" t="s">
        <v>36</v>
      </c>
      <c r="E1800">
        <v>16</v>
      </c>
      <c r="F1800">
        <v>1469</v>
      </c>
      <c r="G1800" t="s">
        <v>40</v>
      </c>
      <c r="H1800">
        <v>23504</v>
      </c>
      <c r="I1800">
        <v>15209.28605974528</v>
      </c>
      <c r="J1800">
        <v>8294.7139402547182</v>
      </c>
    </row>
    <row r="1801" spans="1:10" x14ac:dyDescent="0.35">
      <c r="A1801" s="1">
        <v>45565</v>
      </c>
      <c r="B1801" t="s">
        <v>10</v>
      </c>
      <c r="C1801" t="s">
        <v>24</v>
      </c>
      <c r="D1801" t="s">
        <v>37</v>
      </c>
      <c r="E1801">
        <v>17</v>
      </c>
      <c r="F1801">
        <v>1821</v>
      </c>
      <c r="G1801" t="s">
        <v>40</v>
      </c>
      <c r="H1801">
        <v>30957</v>
      </c>
      <c r="I1801">
        <v>24909.303999658801</v>
      </c>
      <c r="J1801">
        <v>6047.696000341195</v>
      </c>
    </row>
    <row r="1802" spans="1:10" x14ac:dyDescent="0.35">
      <c r="A1802" s="1">
        <v>45611</v>
      </c>
      <c r="B1802" t="s">
        <v>10</v>
      </c>
      <c r="C1802" t="s">
        <v>21</v>
      </c>
      <c r="D1802" t="s">
        <v>37</v>
      </c>
      <c r="E1802">
        <v>19</v>
      </c>
      <c r="F1802">
        <v>1468</v>
      </c>
      <c r="G1802" t="s">
        <v>40</v>
      </c>
      <c r="H1802">
        <v>27892</v>
      </c>
      <c r="I1802">
        <v>23023.632124188371</v>
      </c>
      <c r="J1802">
        <v>4868.3678758116257</v>
      </c>
    </row>
    <row r="1803" spans="1:10" x14ac:dyDescent="0.35">
      <c r="A1803" s="1">
        <v>45629</v>
      </c>
      <c r="B1803" t="s">
        <v>11</v>
      </c>
      <c r="C1803" t="s">
        <v>21</v>
      </c>
      <c r="E1803">
        <v>3</v>
      </c>
      <c r="F1803">
        <v>1523</v>
      </c>
      <c r="G1803" t="s">
        <v>40</v>
      </c>
      <c r="H1803">
        <v>4569</v>
      </c>
      <c r="I1803">
        <v>2989.6502862725952</v>
      </c>
      <c r="J1803">
        <v>1579.3497137274051</v>
      </c>
    </row>
    <row r="1804" spans="1:10" x14ac:dyDescent="0.35">
      <c r="A1804" s="1">
        <v>45657</v>
      </c>
      <c r="B1804" t="s">
        <v>10</v>
      </c>
      <c r="C1804" t="s">
        <v>18</v>
      </c>
      <c r="D1804" t="s">
        <v>33</v>
      </c>
      <c r="E1804">
        <v>18</v>
      </c>
      <c r="F1804">
        <v>1330</v>
      </c>
      <c r="G1804" t="s">
        <v>39</v>
      </c>
      <c r="H1804">
        <v>23940</v>
      </c>
      <c r="I1804">
        <v>14687.143055718419</v>
      </c>
      <c r="J1804">
        <v>9252.8569442815751</v>
      </c>
    </row>
    <row r="1805" spans="1:10" x14ac:dyDescent="0.35">
      <c r="A1805" s="1">
        <v>45386</v>
      </c>
      <c r="B1805" t="s">
        <v>10</v>
      </c>
      <c r="C1805" t="s">
        <v>18</v>
      </c>
      <c r="D1805" t="s">
        <v>32</v>
      </c>
      <c r="E1805">
        <v>7</v>
      </c>
      <c r="F1805">
        <v>957</v>
      </c>
      <c r="G1805" t="s">
        <v>39</v>
      </c>
      <c r="H1805">
        <v>6699</v>
      </c>
      <c r="I1805">
        <v>4182.0673976208354</v>
      </c>
      <c r="J1805">
        <v>2516.932602379165</v>
      </c>
    </row>
    <row r="1806" spans="1:10" x14ac:dyDescent="0.35">
      <c r="A1806" s="1">
        <v>45457</v>
      </c>
      <c r="B1806" t="s">
        <v>10</v>
      </c>
      <c r="C1806" t="s">
        <v>24</v>
      </c>
      <c r="D1806" t="s">
        <v>36</v>
      </c>
      <c r="E1806">
        <v>9</v>
      </c>
      <c r="F1806">
        <v>1042</v>
      </c>
      <c r="G1806" t="s">
        <v>40</v>
      </c>
      <c r="H1806">
        <v>9378</v>
      </c>
      <c r="I1806">
        <v>7475.3325333149714</v>
      </c>
      <c r="J1806">
        <v>1902.667466685029</v>
      </c>
    </row>
    <row r="1807" spans="1:10" x14ac:dyDescent="0.35">
      <c r="A1807" s="1">
        <v>45323</v>
      </c>
      <c r="B1807" t="s">
        <v>10</v>
      </c>
      <c r="C1807" t="s">
        <v>23</v>
      </c>
      <c r="D1807" t="s">
        <v>36</v>
      </c>
      <c r="E1807">
        <v>12</v>
      </c>
      <c r="F1807">
        <v>1295</v>
      </c>
      <c r="G1807" t="s">
        <v>39</v>
      </c>
      <c r="H1807">
        <v>15540</v>
      </c>
      <c r="I1807">
        <v>9955.7504288309392</v>
      </c>
      <c r="J1807">
        <v>5584.2495711690608</v>
      </c>
    </row>
    <row r="1808" spans="1:10" x14ac:dyDescent="0.35">
      <c r="A1808" s="1">
        <v>45302</v>
      </c>
      <c r="B1808" t="s">
        <v>11</v>
      </c>
      <c r="C1808" t="s">
        <v>21</v>
      </c>
      <c r="D1808" t="s">
        <v>37</v>
      </c>
      <c r="E1808">
        <v>5</v>
      </c>
      <c r="F1808">
        <v>563</v>
      </c>
      <c r="G1808" t="s">
        <v>40</v>
      </c>
      <c r="H1808">
        <v>2815</v>
      </c>
      <c r="I1808">
        <v>2106.1144554555822</v>
      </c>
      <c r="J1808">
        <v>708.88554454441828</v>
      </c>
    </row>
    <row r="1809" spans="1:10" x14ac:dyDescent="0.35">
      <c r="A1809" s="1">
        <v>45592</v>
      </c>
      <c r="B1809" t="s">
        <v>10</v>
      </c>
      <c r="C1809" t="s">
        <v>20</v>
      </c>
      <c r="D1809" t="s">
        <v>36</v>
      </c>
      <c r="E1809">
        <v>3</v>
      </c>
      <c r="F1809">
        <v>369</v>
      </c>
      <c r="G1809" t="s">
        <v>38</v>
      </c>
      <c r="H1809">
        <v>1107</v>
      </c>
      <c r="I1809">
        <v>714.89225242058103</v>
      </c>
      <c r="J1809">
        <v>392.10774757941903</v>
      </c>
    </row>
    <row r="1810" spans="1:10" x14ac:dyDescent="0.35">
      <c r="A1810" s="1">
        <v>45508</v>
      </c>
      <c r="B1810" t="s">
        <v>12</v>
      </c>
      <c r="C1810" t="s">
        <v>24</v>
      </c>
      <c r="D1810" t="s">
        <v>32</v>
      </c>
      <c r="E1810">
        <v>11</v>
      </c>
      <c r="F1810">
        <v>1344</v>
      </c>
      <c r="G1810" t="s">
        <v>40</v>
      </c>
      <c r="H1810">
        <v>14784</v>
      </c>
      <c r="I1810">
        <v>9625.0406233998783</v>
      </c>
      <c r="J1810">
        <v>5158.9593766001217</v>
      </c>
    </row>
    <row r="1811" spans="1:10" x14ac:dyDescent="0.35">
      <c r="A1811" s="1">
        <v>45580</v>
      </c>
      <c r="B1811" t="s">
        <v>12</v>
      </c>
      <c r="C1811" t="s">
        <v>20</v>
      </c>
      <c r="D1811" t="s">
        <v>32</v>
      </c>
      <c r="E1811">
        <v>4</v>
      </c>
      <c r="F1811">
        <v>1275</v>
      </c>
      <c r="G1811" t="s">
        <v>38</v>
      </c>
      <c r="H1811">
        <v>5100</v>
      </c>
      <c r="I1811">
        <v>3066.671570112524</v>
      </c>
      <c r="J1811">
        <v>2033.328429887476</v>
      </c>
    </row>
    <row r="1812" spans="1:10" x14ac:dyDescent="0.35">
      <c r="A1812" s="1">
        <v>45393</v>
      </c>
      <c r="B1812" t="s">
        <v>12</v>
      </c>
      <c r="C1812" t="s">
        <v>20</v>
      </c>
      <c r="D1812" t="s">
        <v>31</v>
      </c>
      <c r="E1812">
        <v>5</v>
      </c>
      <c r="F1812">
        <v>722</v>
      </c>
      <c r="G1812" t="s">
        <v>38</v>
      </c>
      <c r="H1812">
        <v>3610</v>
      </c>
      <c r="I1812">
        <v>2513.4526690946341</v>
      </c>
      <c r="J1812">
        <v>1096.5473309053659</v>
      </c>
    </row>
    <row r="1813" spans="1:10" x14ac:dyDescent="0.35">
      <c r="A1813" s="1">
        <v>45558</v>
      </c>
      <c r="B1813" t="s">
        <v>12</v>
      </c>
      <c r="C1813" t="s">
        <v>24</v>
      </c>
      <c r="D1813" t="s">
        <v>34</v>
      </c>
      <c r="E1813">
        <v>1</v>
      </c>
      <c r="F1813">
        <v>1306</v>
      </c>
      <c r="G1813" t="s">
        <v>40</v>
      </c>
      <c r="H1813">
        <v>1306</v>
      </c>
      <c r="I1813">
        <v>818.78256884734662</v>
      </c>
      <c r="J1813">
        <v>487.21743115265338</v>
      </c>
    </row>
    <row r="1814" spans="1:10" x14ac:dyDescent="0.35">
      <c r="A1814" s="1">
        <v>45505</v>
      </c>
      <c r="B1814" t="s">
        <v>10</v>
      </c>
      <c r="C1814" t="s">
        <v>26</v>
      </c>
      <c r="D1814" t="s">
        <v>34</v>
      </c>
      <c r="E1814">
        <v>18</v>
      </c>
      <c r="F1814">
        <v>1522</v>
      </c>
      <c r="G1814" t="s">
        <v>40</v>
      </c>
      <c r="H1814">
        <v>27396</v>
      </c>
      <c r="I1814">
        <v>19675.488929767889</v>
      </c>
      <c r="J1814">
        <v>7720.5110702321144</v>
      </c>
    </row>
    <row r="1815" spans="1:10" x14ac:dyDescent="0.35">
      <c r="A1815" s="1">
        <v>45470</v>
      </c>
      <c r="B1815" t="s">
        <v>12</v>
      </c>
      <c r="C1815" t="s">
        <v>23</v>
      </c>
      <c r="D1815" t="s">
        <v>31</v>
      </c>
      <c r="E1815">
        <v>12</v>
      </c>
      <c r="F1815">
        <v>1974</v>
      </c>
      <c r="G1815" t="s">
        <v>39</v>
      </c>
      <c r="H1815">
        <v>23688</v>
      </c>
      <c r="I1815">
        <v>18460.894417866399</v>
      </c>
      <c r="J1815">
        <v>5227.1055821336013</v>
      </c>
    </row>
    <row r="1816" spans="1:10" x14ac:dyDescent="0.35">
      <c r="A1816" s="1">
        <v>45379</v>
      </c>
      <c r="B1816" t="s">
        <v>10</v>
      </c>
      <c r="C1816" t="s">
        <v>24</v>
      </c>
      <c r="D1816" t="s">
        <v>35</v>
      </c>
      <c r="E1816">
        <v>13</v>
      </c>
      <c r="F1816">
        <v>171</v>
      </c>
      <c r="G1816" t="s">
        <v>40</v>
      </c>
      <c r="H1816">
        <v>2223</v>
      </c>
      <c r="I1816">
        <v>1578.9070560732609</v>
      </c>
      <c r="J1816">
        <v>644.09294392673883</v>
      </c>
    </row>
    <row r="1817" spans="1:10" x14ac:dyDescent="0.35">
      <c r="A1817" s="1">
        <v>45332</v>
      </c>
      <c r="B1817" t="s">
        <v>11</v>
      </c>
      <c r="C1817" t="s">
        <v>18</v>
      </c>
      <c r="E1817">
        <v>9</v>
      </c>
      <c r="F1817">
        <v>1541</v>
      </c>
      <c r="G1817" t="s">
        <v>39</v>
      </c>
      <c r="H1817">
        <v>13869</v>
      </c>
      <c r="I1817">
        <v>11255.033141416579</v>
      </c>
      <c r="J1817">
        <v>2613.9668585834211</v>
      </c>
    </row>
    <row r="1818" spans="1:10" x14ac:dyDescent="0.35">
      <c r="A1818" s="1">
        <v>45367</v>
      </c>
      <c r="B1818" t="s">
        <v>12</v>
      </c>
      <c r="C1818" t="s">
        <v>24</v>
      </c>
      <c r="D1818" t="s">
        <v>32</v>
      </c>
      <c r="E1818">
        <v>2</v>
      </c>
      <c r="F1818">
        <v>1406</v>
      </c>
      <c r="G1818" t="s">
        <v>40</v>
      </c>
      <c r="H1818">
        <v>2812</v>
      </c>
      <c r="I1818">
        <v>2312.688711518002</v>
      </c>
      <c r="J1818">
        <v>499.31128848199751</v>
      </c>
    </row>
    <row r="1819" spans="1:10" x14ac:dyDescent="0.35">
      <c r="A1819" s="1">
        <v>45337</v>
      </c>
      <c r="B1819" t="s">
        <v>13</v>
      </c>
      <c r="C1819" t="s">
        <v>21</v>
      </c>
      <c r="D1819" t="s">
        <v>32</v>
      </c>
      <c r="E1819">
        <v>5</v>
      </c>
      <c r="F1819">
        <v>173</v>
      </c>
      <c r="G1819" t="s">
        <v>40</v>
      </c>
      <c r="H1819">
        <v>865</v>
      </c>
      <c r="I1819">
        <v>699.76935752013071</v>
      </c>
      <c r="J1819">
        <v>165.23064247986929</v>
      </c>
    </row>
    <row r="1820" spans="1:10" x14ac:dyDescent="0.35">
      <c r="A1820" s="1">
        <v>45451</v>
      </c>
      <c r="B1820" t="s">
        <v>12</v>
      </c>
      <c r="C1820" t="s">
        <v>24</v>
      </c>
      <c r="D1820" t="s">
        <v>34</v>
      </c>
      <c r="E1820">
        <v>13</v>
      </c>
      <c r="F1820">
        <v>454</v>
      </c>
      <c r="G1820" t="s">
        <v>40</v>
      </c>
      <c r="H1820">
        <v>5902</v>
      </c>
      <c r="I1820">
        <v>5199.745028683531</v>
      </c>
      <c r="J1820">
        <v>702.25497131646898</v>
      </c>
    </row>
    <row r="1821" spans="1:10" x14ac:dyDescent="0.35">
      <c r="A1821" s="1">
        <v>45371</v>
      </c>
      <c r="B1821" t="s">
        <v>12</v>
      </c>
      <c r="D1821" t="s">
        <v>32</v>
      </c>
      <c r="E1821">
        <v>16</v>
      </c>
      <c r="F1821">
        <v>1850</v>
      </c>
      <c r="G1821" t="s">
        <v>40</v>
      </c>
      <c r="H1821">
        <v>29600</v>
      </c>
      <c r="I1821">
        <v>19867.173179716941</v>
      </c>
      <c r="J1821">
        <v>9732.8268202830586</v>
      </c>
    </row>
    <row r="1822" spans="1:10" x14ac:dyDescent="0.35">
      <c r="A1822" s="1">
        <v>45601</v>
      </c>
      <c r="B1822" t="s">
        <v>10</v>
      </c>
      <c r="C1822" t="s">
        <v>21</v>
      </c>
      <c r="D1822" t="s">
        <v>31</v>
      </c>
      <c r="E1822">
        <v>16</v>
      </c>
      <c r="F1822">
        <v>596</v>
      </c>
      <c r="G1822" t="s">
        <v>40</v>
      </c>
      <c r="H1822">
        <v>9536</v>
      </c>
      <c r="I1822">
        <v>6263.5970210713249</v>
      </c>
      <c r="J1822">
        <v>3272.4029789286751</v>
      </c>
    </row>
    <row r="1823" spans="1:10" x14ac:dyDescent="0.35">
      <c r="A1823" s="1">
        <v>45377</v>
      </c>
      <c r="B1823" t="s">
        <v>12</v>
      </c>
      <c r="C1823" t="s">
        <v>18</v>
      </c>
      <c r="D1823" t="s">
        <v>37</v>
      </c>
      <c r="E1823">
        <v>3</v>
      </c>
      <c r="F1823">
        <v>1451</v>
      </c>
      <c r="G1823" t="s">
        <v>39</v>
      </c>
      <c r="H1823">
        <v>4353</v>
      </c>
      <c r="I1823">
        <v>3408.0222338009539</v>
      </c>
      <c r="J1823">
        <v>944.97776619904562</v>
      </c>
    </row>
    <row r="1824" spans="1:10" x14ac:dyDescent="0.35">
      <c r="A1824" s="1">
        <v>45383</v>
      </c>
      <c r="B1824" t="s">
        <v>13</v>
      </c>
      <c r="C1824" t="s">
        <v>22</v>
      </c>
      <c r="D1824" t="s">
        <v>37</v>
      </c>
      <c r="F1824">
        <v>1087</v>
      </c>
      <c r="G1824" t="s">
        <v>40</v>
      </c>
    </row>
    <row r="1825" spans="1:10" x14ac:dyDescent="0.35">
      <c r="A1825" s="1">
        <v>45439</v>
      </c>
      <c r="B1825" t="s">
        <v>10</v>
      </c>
      <c r="C1825" t="s">
        <v>22</v>
      </c>
      <c r="D1825" t="s">
        <v>36</v>
      </c>
      <c r="E1825">
        <v>11</v>
      </c>
      <c r="F1825">
        <v>1658</v>
      </c>
      <c r="G1825" t="s">
        <v>40</v>
      </c>
      <c r="H1825">
        <v>18238</v>
      </c>
      <c r="I1825">
        <v>13733.752022868341</v>
      </c>
      <c r="J1825">
        <v>4504.2479771316612</v>
      </c>
    </row>
    <row r="1826" spans="1:10" x14ac:dyDescent="0.35">
      <c r="A1826" s="1">
        <v>45452</v>
      </c>
      <c r="B1826" t="s">
        <v>10</v>
      </c>
      <c r="C1826" t="s">
        <v>20</v>
      </c>
      <c r="D1826" t="s">
        <v>30</v>
      </c>
      <c r="E1826">
        <v>14</v>
      </c>
      <c r="F1826">
        <v>679</v>
      </c>
      <c r="G1826" t="s">
        <v>38</v>
      </c>
      <c r="H1826">
        <v>9506</v>
      </c>
      <c r="I1826">
        <v>5716.0144315033431</v>
      </c>
      <c r="J1826">
        <v>3789.9855684966569</v>
      </c>
    </row>
    <row r="1827" spans="1:10" x14ac:dyDescent="0.35">
      <c r="A1827" s="1">
        <v>45493</v>
      </c>
      <c r="B1827" t="s">
        <v>11</v>
      </c>
      <c r="C1827" t="s">
        <v>23</v>
      </c>
      <c r="D1827" t="s">
        <v>30</v>
      </c>
      <c r="E1827">
        <v>3</v>
      </c>
      <c r="F1827">
        <v>1009</v>
      </c>
      <c r="G1827" t="s">
        <v>39</v>
      </c>
      <c r="H1827">
        <v>3027</v>
      </c>
      <c r="I1827">
        <v>2320.4118365776371</v>
      </c>
      <c r="J1827">
        <v>706.58816342236287</v>
      </c>
    </row>
    <row r="1828" spans="1:10" x14ac:dyDescent="0.35">
      <c r="A1828" s="1">
        <v>45533</v>
      </c>
      <c r="B1828" t="s">
        <v>11</v>
      </c>
      <c r="C1828" t="s">
        <v>20</v>
      </c>
      <c r="D1828" t="s">
        <v>37</v>
      </c>
      <c r="E1828">
        <v>16</v>
      </c>
      <c r="F1828">
        <v>1570</v>
      </c>
      <c r="G1828" t="s">
        <v>38</v>
      </c>
      <c r="H1828">
        <v>25120</v>
      </c>
      <c r="I1828">
        <v>22101.56615659477</v>
      </c>
      <c r="J1828">
        <v>3018.4338434052302</v>
      </c>
    </row>
    <row r="1829" spans="1:10" x14ac:dyDescent="0.35">
      <c r="A1829" s="1">
        <v>45644</v>
      </c>
      <c r="B1829" t="s">
        <v>12</v>
      </c>
      <c r="C1829" t="s">
        <v>19</v>
      </c>
      <c r="D1829" t="s">
        <v>33</v>
      </c>
      <c r="E1829">
        <v>15</v>
      </c>
      <c r="F1829">
        <v>472</v>
      </c>
      <c r="G1829" t="s">
        <v>40</v>
      </c>
      <c r="H1829">
        <v>7080</v>
      </c>
      <c r="I1829">
        <v>4958.643011675721</v>
      </c>
      <c r="J1829">
        <v>2121.356988324279</v>
      </c>
    </row>
    <row r="1830" spans="1:10" x14ac:dyDescent="0.35">
      <c r="A1830" s="1">
        <v>45293</v>
      </c>
      <c r="B1830" t="s">
        <v>11</v>
      </c>
      <c r="C1830" t="s">
        <v>17</v>
      </c>
      <c r="D1830" t="s">
        <v>31</v>
      </c>
      <c r="E1830">
        <v>10</v>
      </c>
      <c r="F1830">
        <v>461</v>
      </c>
      <c r="G1830" t="s">
        <v>38</v>
      </c>
      <c r="H1830">
        <v>4610</v>
      </c>
      <c r="I1830">
        <v>4104.189684361907</v>
      </c>
      <c r="J1830">
        <v>505.81031563809302</v>
      </c>
    </row>
    <row r="1831" spans="1:10" x14ac:dyDescent="0.35">
      <c r="A1831" s="1">
        <v>45516</v>
      </c>
      <c r="B1831" t="s">
        <v>11</v>
      </c>
      <c r="C1831" t="s">
        <v>18</v>
      </c>
      <c r="D1831" t="s">
        <v>32</v>
      </c>
      <c r="E1831">
        <v>9</v>
      </c>
      <c r="F1831">
        <v>192</v>
      </c>
      <c r="G1831" t="s">
        <v>39</v>
      </c>
      <c r="H1831">
        <v>1728</v>
      </c>
      <c r="I1831">
        <v>1221.7426624960849</v>
      </c>
      <c r="J1831">
        <v>506.25733750391532</v>
      </c>
    </row>
    <row r="1832" spans="1:10" x14ac:dyDescent="0.35">
      <c r="A1832" s="1">
        <v>45580</v>
      </c>
      <c r="B1832" t="s">
        <v>11</v>
      </c>
      <c r="C1832" t="s">
        <v>23</v>
      </c>
      <c r="D1832" t="s">
        <v>34</v>
      </c>
      <c r="E1832">
        <v>11</v>
      </c>
      <c r="F1832">
        <v>1444</v>
      </c>
      <c r="G1832" t="s">
        <v>39</v>
      </c>
      <c r="H1832">
        <v>15884</v>
      </c>
      <c r="I1832">
        <v>10196.8346753979</v>
      </c>
      <c r="J1832">
        <v>5687.165324602096</v>
      </c>
    </row>
    <row r="1833" spans="1:10" x14ac:dyDescent="0.35">
      <c r="A1833" s="1">
        <v>45524</v>
      </c>
      <c r="B1833" t="s">
        <v>10</v>
      </c>
      <c r="C1833" t="s">
        <v>18</v>
      </c>
      <c r="D1833" t="s">
        <v>37</v>
      </c>
      <c r="E1833">
        <v>16</v>
      </c>
      <c r="F1833">
        <v>423</v>
      </c>
      <c r="G1833" t="s">
        <v>39</v>
      </c>
      <c r="H1833">
        <v>6768</v>
      </c>
      <c r="I1833">
        <v>4869.718293668062</v>
      </c>
      <c r="J1833">
        <v>1898.281706331938</v>
      </c>
    </row>
    <row r="1834" spans="1:10" x14ac:dyDescent="0.35">
      <c r="A1834" s="1">
        <v>45368</v>
      </c>
      <c r="B1834" t="s">
        <v>10</v>
      </c>
      <c r="C1834" t="s">
        <v>22</v>
      </c>
      <c r="D1834" t="s">
        <v>31</v>
      </c>
      <c r="E1834">
        <v>10</v>
      </c>
      <c r="F1834">
        <v>483</v>
      </c>
      <c r="G1834" t="s">
        <v>40</v>
      </c>
      <c r="H1834">
        <v>4830</v>
      </c>
      <c r="I1834">
        <v>3614.6917924262152</v>
      </c>
      <c r="J1834">
        <v>1215.308207573785</v>
      </c>
    </row>
    <row r="1835" spans="1:10" x14ac:dyDescent="0.35">
      <c r="A1835" s="1">
        <v>45407</v>
      </c>
      <c r="B1835" t="s">
        <v>10</v>
      </c>
      <c r="C1835" t="s">
        <v>20</v>
      </c>
      <c r="D1835" t="s">
        <v>37</v>
      </c>
      <c r="E1835">
        <v>17</v>
      </c>
      <c r="F1835">
        <v>674</v>
      </c>
      <c r="G1835" t="s">
        <v>38</v>
      </c>
      <c r="H1835">
        <v>11458</v>
      </c>
      <c r="I1835">
        <v>9038.5209635410138</v>
      </c>
      <c r="J1835">
        <v>2419.4790364589858</v>
      </c>
    </row>
    <row r="1836" spans="1:10" x14ac:dyDescent="0.35">
      <c r="A1836" s="1">
        <v>45445</v>
      </c>
      <c r="B1836" t="s">
        <v>11</v>
      </c>
      <c r="C1836" t="s">
        <v>18</v>
      </c>
      <c r="D1836" t="s">
        <v>35</v>
      </c>
      <c r="E1836">
        <v>19</v>
      </c>
      <c r="F1836">
        <v>835</v>
      </c>
      <c r="G1836" t="s">
        <v>39</v>
      </c>
      <c r="H1836">
        <v>15865</v>
      </c>
      <c r="I1836">
        <v>11921.967612145299</v>
      </c>
      <c r="J1836">
        <v>3943.032387854701</v>
      </c>
    </row>
    <row r="1837" spans="1:10" x14ac:dyDescent="0.35">
      <c r="A1837" s="1">
        <v>45394</v>
      </c>
      <c r="B1837" t="s">
        <v>10</v>
      </c>
      <c r="C1837" t="s">
        <v>22</v>
      </c>
      <c r="D1837" t="s">
        <v>32</v>
      </c>
      <c r="E1837">
        <v>2</v>
      </c>
      <c r="F1837">
        <v>836</v>
      </c>
      <c r="G1837" t="s">
        <v>40</v>
      </c>
      <c r="H1837">
        <v>1672</v>
      </c>
      <c r="I1837">
        <v>1272.418063506959</v>
      </c>
      <c r="J1837">
        <v>399.58193649304098</v>
      </c>
    </row>
    <row r="1838" spans="1:10" x14ac:dyDescent="0.35">
      <c r="A1838" s="1">
        <v>45485</v>
      </c>
      <c r="B1838" t="s">
        <v>11</v>
      </c>
      <c r="C1838" t="s">
        <v>19</v>
      </c>
      <c r="D1838" t="s">
        <v>35</v>
      </c>
      <c r="E1838">
        <v>2</v>
      </c>
      <c r="F1838">
        <v>445</v>
      </c>
      <c r="G1838" t="s">
        <v>40</v>
      </c>
      <c r="H1838">
        <v>890</v>
      </c>
      <c r="I1838">
        <v>540.42589924148058</v>
      </c>
      <c r="J1838">
        <v>349.57410075851942</v>
      </c>
    </row>
    <row r="1839" spans="1:10" x14ac:dyDescent="0.35">
      <c r="A1839" s="1">
        <v>45457</v>
      </c>
      <c r="B1839" t="s">
        <v>10</v>
      </c>
      <c r="C1839" t="s">
        <v>19</v>
      </c>
      <c r="D1839" t="s">
        <v>32</v>
      </c>
      <c r="E1839">
        <v>6</v>
      </c>
      <c r="F1839">
        <v>1972</v>
      </c>
      <c r="G1839" t="s">
        <v>40</v>
      </c>
      <c r="H1839">
        <v>11832</v>
      </c>
      <c r="I1839">
        <v>7999.4501523580084</v>
      </c>
      <c r="J1839">
        <v>3832.5498476419921</v>
      </c>
    </row>
    <row r="1840" spans="1:10" x14ac:dyDescent="0.35">
      <c r="A1840" s="1">
        <v>45650</v>
      </c>
      <c r="B1840" t="s">
        <v>10</v>
      </c>
      <c r="C1840" t="s">
        <v>17</v>
      </c>
      <c r="D1840" t="s">
        <v>31</v>
      </c>
      <c r="E1840">
        <v>19</v>
      </c>
      <c r="F1840">
        <v>1226</v>
      </c>
      <c r="G1840" t="s">
        <v>38</v>
      </c>
      <c r="H1840">
        <v>23294</v>
      </c>
      <c r="I1840">
        <v>16147.610385010519</v>
      </c>
      <c r="J1840">
        <v>7146.389614989479</v>
      </c>
    </row>
    <row r="1841" spans="1:10" x14ac:dyDescent="0.35">
      <c r="A1841" s="1">
        <v>45381</v>
      </c>
      <c r="B1841" t="s">
        <v>13</v>
      </c>
      <c r="C1841" t="s">
        <v>18</v>
      </c>
      <c r="D1841" t="s">
        <v>36</v>
      </c>
      <c r="E1841">
        <v>8</v>
      </c>
      <c r="F1841">
        <v>1338</v>
      </c>
      <c r="G1841" t="s">
        <v>39</v>
      </c>
      <c r="H1841">
        <v>10704</v>
      </c>
      <c r="I1841">
        <v>9592.1387128449096</v>
      </c>
      <c r="J1841">
        <v>1111.8612871550899</v>
      </c>
    </row>
    <row r="1842" spans="1:10" x14ac:dyDescent="0.35">
      <c r="A1842" s="1">
        <v>45465</v>
      </c>
      <c r="B1842" t="s">
        <v>12</v>
      </c>
      <c r="C1842" t="s">
        <v>17</v>
      </c>
      <c r="D1842" t="s">
        <v>37</v>
      </c>
      <c r="E1842">
        <v>3</v>
      </c>
      <c r="F1842">
        <v>1315</v>
      </c>
      <c r="G1842" t="s">
        <v>38</v>
      </c>
      <c r="H1842">
        <v>3945</v>
      </c>
      <c r="I1842">
        <v>2716.8044184994042</v>
      </c>
      <c r="J1842">
        <v>1228.1955815005961</v>
      </c>
    </row>
    <row r="1843" spans="1:10" x14ac:dyDescent="0.35">
      <c r="A1843" s="1">
        <v>45413</v>
      </c>
      <c r="B1843" t="s">
        <v>11</v>
      </c>
      <c r="C1843" t="s">
        <v>21</v>
      </c>
      <c r="D1843" t="s">
        <v>37</v>
      </c>
      <c r="E1843">
        <v>14</v>
      </c>
      <c r="F1843">
        <v>1795</v>
      </c>
      <c r="G1843" t="s">
        <v>40</v>
      </c>
      <c r="H1843">
        <v>25130</v>
      </c>
      <c r="I1843">
        <v>21837.30794128629</v>
      </c>
      <c r="J1843">
        <v>3292.6920587137138</v>
      </c>
    </row>
    <row r="1844" spans="1:10" x14ac:dyDescent="0.35">
      <c r="A1844" s="1">
        <v>45434</v>
      </c>
      <c r="B1844" t="s">
        <v>13</v>
      </c>
      <c r="C1844" t="s">
        <v>23</v>
      </c>
      <c r="D1844" t="s">
        <v>33</v>
      </c>
      <c r="E1844">
        <v>16</v>
      </c>
      <c r="F1844">
        <v>818</v>
      </c>
      <c r="G1844" t="s">
        <v>39</v>
      </c>
      <c r="H1844">
        <v>13088</v>
      </c>
      <c r="I1844">
        <v>9049.3162178044913</v>
      </c>
      <c r="J1844">
        <v>4038.6837821955091</v>
      </c>
    </row>
    <row r="1845" spans="1:10" x14ac:dyDescent="0.35">
      <c r="A1845" s="1">
        <v>45397</v>
      </c>
      <c r="B1845" t="s">
        <v>10</v>
      </c>
      <c r="C1845" t="s">
        <v>18</v>
      </c>
      <c r="D1845" t="s">
        <v>34</v>
      </c>
      <c r="E1845">
        <v>1</v>
      </c>
      <c r="F1845">
        <v>880</v>
      </c>
      <c r="G1845" t="s">
        <v>39</v>
      </c>
      <c r="H1845">
        <v>880</v>
      </c>
      <c r="I1845">
        <v>553.37312739519132</v>
      </c>
      <c r="J1845">
        <v>326.62687260480868</v>
      </c>
    </row>
    <row r="1846" spans="1:10" x14ac:dyDescent="0.35">
      <c r="A1846" s="1">
        <v>45596</v>
      </c>
      <c r="B1846" t="s">
        <v>11</v>
      </c>
      <c r="C1846" t="s">
        <v>19</v>
      </c>
      <c r="D1846" t="s">
        <v>35</v>
      </c>
      <c r="E1846">
        <v>3</v>
      </c>
      <c r="F1846">
        <v>1119</v>
      </c>
      <c r="G1846" t="s">
        <v>40</v>
      </c>
      <c r="H1846">
        <v>3357</v>
      </c>
      <c r="I1846">
        <v>2263.5754825942772</v>
      </c>
      <c r="J1846">
        <v>1093.424517405723</v>
      </c>
    </row>
    <row r="1847" spans="1:10" x14ac:dyDescent="0.35">
      <c r="A1847" s="1">
        <v>45651</v>
      </c>
      <c r="B1847" t="s">
        <v>10</v>
      </c>
      <c r="C1847" t="s">
        <v>20</v>
      </c>
      <c r="D1847" t="s">
        <v>37</v>
      </c>
      <c r="E1847">
        <v>18</v>
      </c>
      <c r="G1847" t="s">
        <v>38</v>
      </c>
    </row>
    <row r="1848" spans="1:10" x14ac:dyDescent="0.35">
      <c r="A1848" s="1">
        <v>45608</v>
      </c>
      <c r="B1848" t="s">
        <v>12</v>
      </c>
      <c r="C1848" t="s">
        <v>22</v>
      </c>
      <c r="D1848" t="s">
        <v>31</v>
      </c>
      <c r="E1848">
        <v>9</v>
      </c>
      <c r="F1848">
        <v>1503</v>
      </c>
      <c r="G1848" t="s">
        <v>40</v>
      </c>
      <c r="H1848">
        <v>13527</v>
      </c>
      <c r="I1848">
        <v>12086.03061886089</v>
      </c>
      <c r="J1848">
        <v>1440.969381139113</v>
      </c>
    </row>
    <row r="1849" spans="1:10" x14ac:dyDescent="0.35">
      <c r="A1849" s="1">
        <v>45414</v>
      </c>
      <c r="B1849" t="s">
        <v>13</v>
      </c>
      <c r="C1849" t="s">
        <v>24</v>
      </c>
      <c r="D1849" t="s">
        <v>36</v>
      </c>
      <c r="E1849">
        <v>6</v>
      </c>
      <c r="F1849">
        <v>1526</v>
      </c>
      <c r="G1849" t="s">
        <v>40</v>
      </c>
      <c r="H1849">
        <v>9156</v>
      </c>
      <c r="I1849">
        <v>7345.7439074920867</v>
      </c>
      <c r="J1849">
        <v>1810.2560925079131</v>
      </c>
    </row>
    <row r="1850" spans="1:10" x14ac:dyDescent="0.35">
      <c r="A1850" s="1">
        <v>45300</v>
      </c>
      <c r="B1850" t="s">
        <v>12</v>
      </c>
      <c r="C1850" t="s">
        <v>17</v>
      </c>
      <c r="D1850" t="s">
        <v>34</v>
      </c>
      <c r="E1850">
        <v>1</v>
      </c>
      <c r="F1850">
        <v>763</v>
      </c>
      <c r="G1850" t="s">
        <v>38</v>
      </c>
      <c r="H1850">
        <v>763</v>
      </c>
      <c r="I1850">
        <v>671.0617798976391</v>
      </c>
      <c r="J1850">
        <v>91.938220102360901</v>
      </c>
    </row>
    <row r="1851" spans="1:10" x14ac:dyDescent="0.35">
      <c r="A1851" s="1">
        <v>45553</v>
      </c>
      <c r="B1851" t="s">
        <v>13</v>
      </c>
      <c r="C1851" t="s">
        <v>24</v>
      </c>
      <c r="D1851" t="s">
        <v>31</v>
      </c>
      <c r="E1851">
        <v>10</v>
      </c>
      <c r="F1851">
        <v>1872</v>
      </c>
      <c r="G1851" t="s">
        <v>40</v>
      </c>
      <c r="H1851">
        <v>18720</v>
      </c>
      <c r="I1851">
        <v>15921.33204470228</v>
      </c>
      <c r="J1851">
        <v>2798.6679552977198</v>
      </c>
    </row>
    <row r="1852" spans="1:10" x14ac:dyDescent="0.35">
      <c r="A1852" s="1">
        <v>45364</v>
      </c>
      <c r="B1852" t="s">
        <v>10</v>
      </c>
      <c r="C1852" t="s">
        <v>18</v>
      </c>
      <c r="D1852" t="s">
        <v>35</v>
      </c>
      <c r="E1852">
        <v>6</v>
      </c>
      <c r="F1852">
        <v>699</v>
      </c>
      <c r="G1852" t="s">
        <v>39</v>
      </c>
      <c r="H1852">
        <v>4194</v>
      </c>
      <c r="I1852">
        <v>3244.3926209711822</v>
      </c>
      <c r="J1852">
        <v>949.60737902881783</v>
      </c>
    </row>
    <row r="1853" spans="1:10" x14ac:dyDescent="0.35">
      <c r="A1853" s="1">
        <v>45650</v>
      </c>
      <c r="B1853" t="s">
        <v>12</v>
      </c>
      <c r="C1853" t="s">
        <v>20</v>
      </c>
      <c r="D1853" t="s">
        <v>33</v>
      </c>
      <c r="E1853">
        <v>12</v>
      </c>
      <c r="F1853">
        <v>110</v>
      </c>
      <c r="G1853" t="s">
        <v>38</v>
      </c>
      <c r="H1853">
        <v>1320</v>
      </c>
      <c r="I1853">
        <v>1059.4536180012431</v>
      </c>
      <c r="J1853">
        <v>260.54638199875689</v>
      </c>
    </row>
    <row r="1854" spans="1:10" x14ac:dyDescent="0.35">
      <c r="A1854" s="1">
        <v>45514</v>
      </c>
      <c r="B1854" t="s">
        <v>12</v>
      </c>
      <c r="C1854" t="s">
        <v>17</v>
      </c>
      <c r="D1854" t="s">
        <v>37</v>
      </c>
      <c r="F1854">
        <v>286</v>
      </c>
      <c r="G1854" t="s">
        <v>38</v>
      </c>
    </row>
    <row r="1855" spans="1:10" x14ac:dyDescent="0.35">
      <c r="A1855" s="1">
        <v>45332</v>
      </c>
      <c r="B1855" t="s">
        <v>10</v>
      </c>
      <c r="C1855" t="s">
        <v>24</v>
      </c>
      <c r="D1855" t="s">
        <v>31</v>
      </c>
      <c r="E1855">
        <v>13</v>
      </c>
      <c r="F1855">
        <v>825</v>
      </c>
      <c r="G1855" t="s">
        <v>40</v>
      </c>
      <c r="H1855">
        <v>10725</v>
      </c>
      <c r="I1855">
        <v>8578.7012867720732</v>
      </c>
      <c r="J1855">
        <v>2146.2987132279268</v>
      </c>
    </row>
    <row r="1856" spans="1:10" x14ac:dyDescent="0.35">
      <c r="A1856" s="1">
        <v>45495</v>
      </c>
      <c r="B1856" t="s">
        <v>12</v>
      </c>
      <c r="C1856" t="s">
        <v>23</v>
      </c>
      <c r="D1856" t="s">
        <v>34</v>
      </c>
      <c r="E1856">
        <v>17</v>
      </c>
      <c r="F1856">
        <v>1138</v>
      </c>
      <c r="G1856" t="s">
        <v>39</v>
      </c>
      <c r="H1856">
        <v>19346</v>
      </c>
      <c r="I1856">
        <v>13144.293394763779</v>
      </c>
      <c r="J1856">
        <v>6201.7066052362152</v>
      </c>
    </row>
    <row r="1857" spans="1:10" x14ac:dyDescent="0.35">
      <c r="A1857" s="1">
        <v>45555</v>
      </c>
      <c r="B1857" t="s">
        <v>11</v>
      </c>
      <c r="C1857" t="s">
        <v>20</v>
      </c>
      <c r="D1857" t="s">
        <v>32</v>
      </c>
      <c r="E1857">
        <v>8</v>
      </c>
      <c r="F1857">
        <v>877</v>
      </c>
      <c r="G1857" t="s">
        <v>38</v>
      </c>
      <c r="H1857">
        <v>7016</v>
      </c>
      <c r="I1857">
        <v>5068.6217824808664</v>
      </c>
      <c r="J1857">
        <v>1947.3782175191341</v>
      </c>
    </row>
    <row r="1858" spans="1:10" x14ac:dyDescent="0.35">
      <c r="A1858" s="1">
        <v>45619</v>
      </c>
      <c r="B1858" t="s">
        <v>13</v>
      </c>
      <c r="C1858" t="s">
        <v>22</v>
      </c>
      <c r="D1858" t="s">
        <v>36</v>
      </c>
      <c r="E1858">
        <v>3</v>
      </c>
      <c r="F1858">
        <v>1420</v>
      </c>
      <c r="G1858" t="s">
        <v>40</v>
      </c>
      <c r="H1858">
        <v>4260</v>
      </c>
      <c r="I1858">
        <v>3313.363007222431</v>
      </c>
      <c r="J1858">
        <v>946.63699277756905</v>
      </c>
    </row>
    <row r="1859" spans="1:10" x14ac:dyDescent="0.35">
      <c r="A1859" s="1">
        <v>45469</v>
      </c>
      <c r="B1859" t="s">
        <v>13</v>
      </c>
      <c r="C1859" t="s">
        <v>23</v>
      </c>
      <c r="D1859" t="s">
        <v>34</v>
      </c>
      <c r="E1859">
        <v>12</v>
      </c>
      <c r="F1859">
        <v>510</v>
      </c>
      <c r="G1859" t="s">
        <v>39</v>
      </c>
      <c r="H1859">
        <v>6120</v>
      </c>
      <c r="I1859">
        <v>3737.9646618425541</v>
      </c>
      <c r="J1859">
        <v>2382.0353381574459</v>
      </c>
    </row>
    <row r="1860" spans="1:10" x14ac:dyDescent="0.35">
      <c r="A1860" s="1">
        <v>45639</v>
      </c>
      <c r="B1860" t="s">
        <v>13</v>
      </c>
      <c r="C1860" t="s">
        <v>20</v>
      </c>
      <c r="D1860" t="s">
        <v>31</v>
      </c>
      <c r="E1860">
        <v>7</v>
      </c>
      <c r="F1860">
        <v>1055</v>
      </c>
      <c r="G1860" t="s">
        <v>38</v>
      </c>
      <c r="H1860">
        <v>7385</v>
      </c>
      <c r="I1860">
        <v>5500.7207240554517</v>
      </c>
      <c r="J1860">
        <v>1884.2792759445481</v>
      </c>
    </row>
    <row r="1861" spans="1:10" x14ac:dyDescent="0.35">
      <c r="A1861" s="1">
        <v>45609</v>
      </c>
      <c r="B1861" t="s">
        <v>11</v>
      </c>
      <c r="C1861" t="s">
        <v>21</v>
      </c>
      <c r="D1861" t="s">
        <v>36</v>
      </c>
      <c r="E1861">
        <v>12</v>
      </c>
      <c r="F1861">
        <v>684</v>
      </c>
      <c r="G1861" t="s">
        <v>40</v>
      </c>
      <c r="H1861">
        <v>8208</v>
      </c>
      <c r="I1861">
        <v>7041.7916007988742</v>
      </c>
      <c r="J1861">
        <v>1166.208399201126</v>
      </c>
    </row>
    <row r="1862" spans="1:10" x14ac:dyDescent="0.35">
      <c r="A1862" s="1">
        <v>45375</v>
      </c>
      <c r="B1862" t="s">
        <v>13</v>
      </c>
      <c r="C1862" t="s">
        <v>17</v>
      </c>
      <c r="D1862" t="s">
        <v>37</v>
      </c>
      <c r="E1862">
        <v>2</v>
      </c>
      <c r="F1862">
        <v>1175</v>
      </c>
      <c r="G1862" t="s">
        <v>38</v>
      </c>
      <c r="H1862">
        <v>2350</v>
      </c>
      <c r="I1862">
        <v>1757.1192479476581</v>
      </c>
      <c r="J1862">
        <v>592.88075205234236</v>
      </c>
    </row>
    <row r="1863" spans="1:10" x14ac:dyDescent="0.35">
      <c r="A1863" s="1">
        <v>45609</v>
      </c>
      <c r="B1863" t="s">
        <v>10</v>
      </c>
      <c r="C1863" t="s">
        <v>19</v>
      </c>
      <c r="D1863" t="s">
        <v>32</v>
      </c>
      <c r="E1863">
        <v>14</v>
      </c>
      <c r="F1863">
        <v>1763</v>
      </c>
      <c r="G1863" t="s">
        <v>40</v>
      </c>
      <c r="H1863">
        <v>24682</v>
      </c>
      <c r="I1863">
        <v>18898.93361554651</v>
      </c>
      <c r="J1863">
        <v>5783.0663844534902</v>
      </c>
    </row>
    <row r="1864" spans="1:10" x14ac:dyDescent="0.35">
      <c r="A1864" s="1">
        <v>45402</v>
      </c>
      <c r="B1864" t="s">
        <v>12</v>
      </c>
      <c r="C1864" t="s">
        <v>22</v>
      </c>
      <c r="E1864">
        <v>5</v>
      </c>
      <c r="F1864">
        <v>1151</v>
      </c>
      <c r="G1864" t="s">
        <v>40</v>
      </c>
      <c r="H1864">
        <v>5755</v>
      </c>
      <c r="I1864">
        <v>3801.5891905694771</v>
      </c>
      <c r="J1864">
        <v>1953.4108094305229</v>
      </c>
    </row>
    <row r="1865" spans="1:10" x14ac:dyDescent="0.35">
      <c r="A1865" s="1">
        <v>45542</v>
      </c>
      <c r="B1865" t="s">
        <v>11</v>
      </c>
      <c r="C1865" t="s">
        <v>18</v>
      </c>
      <c r="D1865" t="s">
        <v>34</v>
      </c>
      <c r="E1865">
        <v>9</v>
      </c>
      <c r="F1865">
        <v>676</v>
      </c>
      <c r="G1865" t="s">
        <v>39</v>
      </c>
      <c r="H1865">
        <v>6084</v>
      </c>
      <c r="I1865">
        <v>5100.2354714422208</v>
      </c>
      <c r="J1865">
        <v>983.76452855777916</v>
      </c>
    </row>
    <row r="1866" spans="1:10" x14ac:dyDescent="0.35">
      <c r="A1866" s="1">
        <v>45298</v>
      </c>
      <c r="B1866" t="s">
        <v>13</v>
      </c>
      <c r="C1866" t="s">
        <v>23</v>
      </c>
      <c r="D1866" t="s">
        <v>33</v>
      </c>
      <c r="E1866">
        <v>-3</v>
      </c>
      <c r="F1866">
        <v>1140</v>
      </c>
      <c r="G1866" t="s">
        <v>39</v>
      </c>
      <c r="H1866">
        <v>-3420</v>
      </c>
      <c r="I1866">
        <v>-2420.2091235265052</v>
      </c>
      <c r="J1866">
        <v>-999.79087647349525</v>
      </c>
    </row>
    <row r="1867" spans="1:10" x14ac:dyDescent="0.35">
      <c r="A1867" s="1">
        <v>45375</v>
      </c>
      <c r="B1867" t="s">
        <v>10</v>
      </c>
      <c r="C1867" t="s">
        <v>23</v>
      </c>
      <c r="D1867" t="s">
        <v>32</v>
      </c>
      <c r="E1867">
        <v>5</v>
      </c>
      <c r="F1867">
        <v>1474</v>
      </c>
      <c r="G1867" t="s">
        <v>39</v>
      </c>
      <c r="H1867">
        <v>7370</v>
      </c>
      <c r="I1867">
        <v>6537.0150807432728</v>
      </c>
      <c r="J1867">
        <v>832.98491925672715</v>
      </c>
    </row>
    <row r="1868" spans="1:10" x14ac:dyDescent="0.35">
      <c r="A1868" s="1">
        <v>45499</v>
      </c>
      <c r="B1868" t="s">
        <v>12</v>
      </c>
      <c r="C1868" t="s">
        <v>24</v>
      </c>
      <c r="D1868" t="s">
        <v>36</v>
      </c>
      <c r="E1868">
        <v>3</v>
      </c>
      <c r="F1868">
        <v>1551</v>
      </c>
      <c r="G1868" t="s">
        <v>40</v>
      </c>
      <c r="H1868">
        <v>4653</v>
      </c>
      <c r="I1868">
        <v>4178.9265008495468</v>
      </c>
      <c r="J1868">
        <v>474.07349915045319</v>
      </c>
    </row>
    <row r="1869" spans="1:10" x14ac:dyDescent="0.35">
      <c r="A1869" s="1">
        <v>45605</v>
      </c>
      <c r="B1869" t="s">
        <v>12</v>
      </c>
      <c r="C1869" t="s">
        <v>17</v>
      </c>
      <c r="D1869" t="s">
        <v>37</v>
      </c>
      <c r="E1869">
        <v>17</v>
      </c>
      <c r="F1869">
        <v>1773</v>
      </c>
      <c r="G1869" t="s">
        <v>38</v>
      </c>
      <c r="H1869">
        <v>30141</v>
      </c>
      <c r="I1869">
        <v>26367.351706314392</v>
      </c>
      <c r="J1869">
        <v>3773.6482936856082</v>
      </c>
    </row>
    <row r="1870" spans="1:10" x14ac:dyDescent="0.35">
      <c r="A1870" s="1">
        <v>45313</v>
      </c>
      <c r="B1870" t="s">
        <v>11</v>
      </c>
      <c r="C1870" t="s">
        <v>18</v>
      </c>
      <c r="D1870" t="s">
        <v>31</v>
      </c>
      <c r="E1870">
        <v>2</v>
      </c>
      <c r="F1870">
        <v>1954</v>
      </c>
      <c r="G1870" t="s">
        <v>39</v>
      </c>
      <c r="H1870">
        <v>3908</v>
      </c>
      <c r="I1870">
        <v>2444.3094956224468</v>
      </c>
      <c r="J1870">
        <v>1463.690504377553</v>
      </c>
    </row>
    <row r="1871" spans="1:10" x14ac:dyDescent="0.35">
      <c r="A1871" s="1">
        <v>45294</v>
      </c>
      <c r="B1871" t="s">
        <v>11</v>
      </c>
      <c r="C1871" t="s">
        <v>19</v>
      </c>
      <c r="D1871" t="s">
        <v>32</v>
      </c>
      <c r="E1871">
        <v>1</v>
      </c>
      <c r="F1871">
        <v>1352</v>
      </c>
      <c r="G1871" t="s">
        <v>40</v>
      </c>
      <c r="H1871">
        <v>1352</v>
      </c>
      <c r="I1871">
        <v>946.33908786918857</v>
      </c>
      <c r="J1871">
        <v>405.66091213081143</v>
      </c>
    </row>
    <row r="1872" spans="1:10" x14ac:dyDescent="0.35">
      <c r="A1872" s="1">
        <v>45418</v>
      </c>
      <c r="B1872" t="s">
        <v>11</v>
      </c>
      <c r="C1872" t="s">
        <v>20</v>
      </c>
      <c r="D1872" t="s">
        <v>35</v>
      </c>
      <c r="E1872">
        <v>7</v>
      </c>
      <c r="F1872">
        <v>1889</v>
      </c>
      <c r="G1872" t="s">
        <v>38</v>
      </c>
      <c r="H1872">
        <v>13223</v>
      </c>
      <c r="I1872">
        <v>11683.066484688179</v>
      </c>
      <c r="J1872">
        <v>1539.9335153118229</v>
      </c>
    </row>
    <row r="1873" spans="1:10" x14ac:dyDescent="0.35">
      <c r="A1873" s="1">
        <v>45588</v>
      </c>
      <c r="B1873" t="s">
        <v>10</v>
      </c>
      <c r="C1873" t="s">
        <v>19</v>
      </c>
      <c r="D1873" t="s">
        <v>36</v>
      </c>
      <c r="E1873">
        <v>14</v>
      </c>
      <c r="F1873">
        <v>1088</v>
      </c>
      <c r="G1873" t="s">
        <v>40</v>
      </c>
      <c r="H1873">
        <v>15232</v>
      </c>
      <c r="I1873">
        <v>12815.59534412114</v>
      </c>
      <c r="J1873">
        <v>2416.4046558788582</v>
      </c>
    </row>
    <row r="1874" spans="1:10" x14ac:dyDescent="0.35">
      <c r="A1874" s="1">
        <v>45479</v>
      </c>
      <c r="B1874" t="s">
        <v>10</v>
      </c>
      <c r="C1874" t="s">
        <v>17</v>
      </c>
      <c r="D1874" t="s">
        <v>33</v>
      </c>
      <c r="E1874">
        <v>5</v>
      </c>
      <c r="F1874">
        <v>1333</v>
      </c>
      <c r="G1874" t="s">
        <v>38</v>
      </c>
      <c r="H1874">
        <v>6665</v>
      </c>
      <c r="I1874">
        <v>5820.9115868202052</v>
      </c>
      <c r="J1874">
        <v>844.08841317979477</v>
      </c>
    </row>
    <row r="1875" spans="1:10" x14ac:dyDescent="0.35">
      <c r="A1875" s="1">
        <v>45653</v>
      </c>
      <c r="B1875" t="s">
        <v>11</v>
      </c>
      <c r="C1875" t="s">
        <v>17</v>
      </c>
      <c r="D1875" t="s">
        <v>34</v>
      </c>
      <c r="E1875">
        <v>19</v>
      </c>
      <c r="F1875">
        <v>1554</v>
      </c>
      <c r="G1875" t="s">
        <v>38</v>
      </c>
      <c r="H1875">
        <v>29526</v>
      </c>
      <c r="I1875">
        <v>22787.161678634129</v>
      </c>
      <c r="J1875">
        <v>6738.8383213658744</v>
      </c>
    </row>
    <row r="1876" spans="1:10" x14ac:dyDescent="0.35">
      <c r="A1876" s="1">
        <v>45305</v>
      </c>
      <c r="B1876" t="s">
        <v>13</v>
      </c>
      <c r="C1876" t="s">
        <v>21</v>
      </c>
      <c r="D1876" t="s">
        <v>32</v>
      </c>
      <c r="E1876">
        <v>11</v>
      </c>
      <c r="F1876">
        <v>1417</v>
      </c>
      <c r="G1876" t="s">
        <v>40</v>
      </c>
      <c r="H1876">
        <v>15587</v>
      </c>
      <c r="I1876">
        <v>11598.587162123709</v>
      </c>
      <c r="J1876">
        <v>3988.4128378762889</v>
      </c>
    </row>
    <row r="1877" spans="1:10" x14ac:dyDescent="0.35">
      <c r="A1877" s="1">
        <v>45303</v>
      </c>
      <c r="B1877" t="s">
        <v>12</v>
      </c>
      <c r="C1877" t="s">
        <v>21</v>
      </c>
      <c r="D1877" t="s">
        <v>33</v>
      </c>
      <c r="E1877">
        <v>2</v>
      </c>
      <c r="F1877">
        <v>842</v>
      </c>
      <c r="G1877" t="s">
        <v>40</v>
      </c>
      <c r="H1877">
        <v>1684</v>
      </c>
      <c r="I1877">
        <v>1064.2019393506489</v>
      </c>
      <c r="J1877">
        <v>619.79806064935133</v>
      </c>
    </row>
    <row r="1878" spans="1:10" x14ac:dyDescent="0.35">
      <c r="A1878" s="1">
        <v>45378</v>
      </c>
      <c r="B1878" t="s">
        <v>12</v>
      </c>
      <c r="C1878" t="s">
        <v>19</v>
      </c>
      <c r="D1878" t="s">
        <v>36</v>
      </c>
      <c r="E1878">
        <v>8</v>
      </c>
      <c r="F1878">
        <v>1876</v>
      </c>
      <c r="G1878" t="s">
        <v>40</v>
      </c>
      <c r="H1878">
        <v>15008</v>
      </c>
      <c r="I1878">
        <v>12784.43667215552</v>
      </c>
      <c r="J1878">
        <v>2223.563327844478</v>
      </c>
    </row>
    <row r="1879" spans="1:10" x14ac:dyDescent="0.35">
      <c r="A1879" s="1">
        <v>45303</v>
      </c>
      <c r="B1879" t="s">
        <v>10</v>
      </c>
      <c r="C1879" t="s">
        <v>20</v>
      </c>
      <c r="D1879" t="s">
        <v>33</v>
      </c>
      <c r="E1879">
        <v>9</v>
      </c>
      <c r="F1879">
        <v>1705</v>
      </c>
      <c r="G1879" t="s">
        <v>38</v>
      </c>
      <c r="H1879">
        <v>15345</v>
      </c>
      <c r="I1879">
        <v>12637.25911815367</v>
      </c>
      <c r="J1879">
        <v>2707.7408818463259</v>
      </c>
    </row>
    <row r="1880" spans="1:10" x14ac:dyDescent="0.35">
      <c r="A1880" s="1">
        <v>45316</v>
      </c>
      <c r="B1880" t="s">
        <v>12</v>
      </c>
      <c r="C1880" t="s">
        <v>19</v>
      </c>
      <c r="D1880" t="s">
        <v>32</v>
      </c>
      <c r="E1880">
        <v>3</v>
      </c>
      <c r="F1880">
        <v>1227</v>
      </c>
      <c r="G1880" t="s">
        <v>40</v>
      </c>
      <c r="H1880">
        <v>3681</v>
      </c>
      <c r="I1880">
        <v>2273.6174327099202</v>
      </c>
      <c r="J1880">
        <v>1407.38256729008</v>
      </c>
    </row>
    <row r="1881" spans="1:10" x14ac:dyDescent="0.35">
      <c r="A1881" s="1">
        <v>45592</v>
      </c>
      <c r="B1881" t="s">
        <v>13</v>
      </c>
      <c r="C1881" t="s">
        <v>17</v>
      </c>
      <c r="D1881" t="s">
        <v>36</v>
      </c>
      <c r="E1881">
        <v>2</v>
      </c>
      <c r="F1881">
        <v>303</v>
      </c>
      <c r="G1881" t="s">
        <v>38</v>
      </c>
      <c r="H1881">
        <v>606</v>
      </c>
      <c r="I1881">
        <v>401.67157238842287</v>
      </c>
      <c r="J1881">
        <v>204.3284276115771</v>
      </c>
    </row>
    <row r="1882" spans="1:10" x14ac:dyDescent="0.35">
      <c r="A1882" s="1">
        <v>45534</v>
      </c>
      <c r="B1882" t="s">
        <v>12</v>
      </c>
      <c r="C1882" t="s">
        <v>17</v>
      </c>
      <c r="E1882">
        <v>7</v>
      </c>
      <c r="F1882">
        <v>1176</v>
      </c>
      <c r="G1882" t="s">
        <v>38</v>
      </c>
      <c r="H1882">
        <v>8232</v>
      </c>
      <c r="I1882">
        <v>6315.4526703627489</v>
      </c>
      <c r="J1882">
        <v>1916.5473296372511</v>
      </c>
    </row>
    <row r="1883" spans="1:10" x14ac:dyDescent="0.35">
      <c r="A1883" s="1">
        <v>45413</v>
      </c>
      <c r="B1883" t="s">
        <v>10</v>
      </c>
      <c r="C1883" t="s">
        <v>24</v>
      </c>
      <c r="D1883" t="s">
        <v>32</v>
      </c>
      <c r="E1883">
        <v>5</v>
      </c>
      <c r="F1883">
        <v>1073</v>
      </c>
      <c r="G1883" t="s">
        <v>40</v>
      </c>
      <c r="H1883">
        <v>5365</v>
      </c>
      <c r="I1883">
        <v>4320.5456661230364</v>
      </c>
      <c r="J1883">
        <v>1044.454333876964</v>
      </c>
    </row>
    <row r="1884" spans="1:10" x14ac:dyDescent="0.35">
      <c r="A1884" s="1">
        <v>45438</v>
      </c>
      <c r="B1884" t="s">
        <v>10</v>
      </c>
      <c r="C1884" t="s">
        <v>21</v>
      </c>
      <c r="D1884" t="s">
        <v>31</v>
      </c>
      <c r="E1884">
        <v>5</v>
      </c>
      <c r="F1884">
        <v>1039</v>
      </c>
      <c r="G1884" t="s">
        <v>40</v>
      </c>
      <c r="H1884">
        <v>5195</v>
      </c>
      <c r="I1884">
        <v>3331.5591068507779</v>
      </c>
      <c r="J1884">
        <v>1863.4408931492219</v>
      </c>
    </row>
    <row r="1885" spans="1:10" x14ac:dyDescent="0.35">
      <c r="A1885" s="1">
        <v>45346</v>
      </c>
      <c r="B1885" t="s">
        <v>13</v>
      </c>
      <c r="C1885" t="s">
        <v>18</v>
      </c>
      <c r="D1885" t="s">
        <v>30</v>
      </c>
      <c r="E1885">
        <v>13</v>
      </c>
      <c r="F1885">
        <v>1498</v>
      </c>
      <c r="G1885" t="s">
        <v>39</v>
      </c>
      <c r="H1885">
        <v>19474</v>
      </c>
      <c r="I1885">
        <v>13114.715554420591</v>
      </c>
      <c r="J1885">
        <v>6359.2844455794111</v>
      </c>
    </row>
    <row r="1886" spans="1:10" x14ac:dyDescent="0.35">
      <c r="A1886" s="1">
        <v>45529</v>
      </c>
      <c r="B1886" t="s">
        <v>13</v>
      </c>
      <c r="C1886" t="s">
        <v>18</v>
      </c>
      <c r="D1886" t="s">
        <v>37</v>
      </c>
      <c r="E1886">
        <v>6</v>
      </c>
      <c r="F1886">
        <v>1965</v>
      </c>
      <c r="G1886" t="s">
        <v>39</v>
      </c>
      <c r="H1886">
        <v>11790</v>
      </c>
      <c r="I1886">
        <v>7757.0308188147828</v>
      </c>
      <c r="J1886">
        <v>4032.9691811852172</v>
      </c>
    </row>
    <row r="1887" spans="1:10" x14ac:dyDescent="0.35">
      <c r="A1887" s="1">
        <v>45647</v>
      </c>
      <c r="B1887" t="s">
        <v>12</v>
      </c>
      <c r="C1887" t="s">
        <v>18</v>
      </c>
      <c r="D1887" t="s">
        <v>32</v>
      </c>
      <c r="E1887">
        <v>18</v>
      </c>
      <c r="F1887">
        <v>1177</v>
      </c>
      <c r="G1887" t="s">
        <v>39</v>
      </c>
      <c r="H1887">
        <v>21186</v>
      </c>
      <c r="I1887">
        <v>14109.85790294343</v>
      </c>
      <c r="J1887">
        <v>7076.1420970565669</v>
      </c>
    </row>
    <row r="1888" spans="1:10" x14ac:dyDescent="0.35">
      <c r="A1888" s="1">
        <v>45464</v>
      </c>
      <c r="B1888" t="s">
        <v>12</v>
      </c>
      <c r="C1888" t="s">
        <v>24</v>
      </c>
      <c r="D1888" t="s">
        <v>36</v>
      </c>
      <c r="E1888">
        <v>2</v>
      </c>
      <c r="F1888">
        <v>1399</v>
      </c>
      <c r="G1888" t="s">
        <v>40</v>
      </c>
      <c r="H1888">
        <v>2798</v>
      </c>
      <c r="I1888">
        <v>2451.646595923623</v>
      </c>
      <c r="J1888">
        <v>346.35340407637699</v>
      </c>
    </row>
    <row r="1889" spans="1:10" x14ac:dyDescent="0.35">
      <c r="A1889" s="1">
        <v>45512</v>
      </c>
      <c r="B1889" t="s">
        <v>10</v>
      </c>
      <c r="C1889" t="s">
        <v>22</v>
      </c>
      <c r="D1889" t="s">
        <v>34</v>
      </c>
      <c r="E1889">
        <v>6</v>
      </c>
      <c r="F1889">
        <v>1458</v>
      </c>
      <c r="G1889" t="s">
        <v>40</v>
      </c>
      <c r="H1889">
        <v>8748</v>
      </c>
      <c r="I1889">
        <v>7127.396887482907</v>
      </c>
      <c r="J1889">
        <v>1620.603112517093</v>
      </c>
    </row>
    <row r="1890" spans="1:10" x14ac:dyDescent="0.35">
      <c r="A1890" s="1">
        <v>45410</v>
      </c>
      <c r="B1890" t="s">
        <v>13</v>
      </c>
      <c r="C1890" t="s">
        <v>18</v>
      </c>
      <c r="D1890" t="s">
        <v>37</v>
      </c>
      <c r="E1890">
        <v>9</v>
      </c>
      <c r="F1890">
        <v>1154</v>
      </c>
      <c r="G1890" t="s">
        <v>39</v>
      </c>
      <c r="H1890">
        <v>10386</v>
      </c>
      <c r="I1890">
        <v>8528.2779295406126</v>
      </c>
      <c r="J1890">
        <v>1857.7220704593869</v>
      </c>
    </row>
    <row r="1891" spans="1:10" x14ac:dyDescent="0.35">
      <c r="A1891" s="1">
        <v>45600</v>
      </c>
      <c r="B1891" t="s">
        <v>13</v>
      </c>
      <c r="C1891" t="s">
        <v>17</v>
      </c>
      <c r="D1891" t="s">
        <v>32</v>
      </c>
      <c r="E1891">
        <v>3</v>
      </c>
      <c r="F1891">
        <v>1258</v>
      </c>
      <c r="G1891" t="s">
        <v>38</v>
      </c>
      <c r="H1891">
        <v>3774</v>
      </c>
      <c r="I1891">
        <v>3163.361490966201</v>
      </c>
      <c r="J1891">
        <v>610.63850903379853</v>
      </c>
    </row>
    <row r="1892" spans="1:10" x14ac:dyDescent="0.35">
      <c r="A1892" s="1">
        <v>45474</v>
      </c>
      <c r="B1892" t="s">
        <v>13</v>
      </c>
      <c r="C1892" t="s">
        <v>24</v>
      </c>
      <c r="D1892" t="s">
        <v>35</v>
      </c>
      <c r="E1892">
        <v>1</v>
      </c>
      <c r="F1892">
        <v>1181</v>
      </c>
      <c r="G1892" t="s">
        <v>40</v>
      </c>
      <c r="H1892">
        <v>1181</v>
      </c>
      <c r="I1892">
        <v>834.93382900879044</v>
      </c>
      <c r="J1892">
        <v>346.06617099120962</v>
      </c>
    </row>
    <row r="1893" spans="1:10" x14ac:dyDescent="0.35">
      <c r="A1893" s="1">
        <v>45579</v>
      </c>
      <c r="B1893" t="s">
        <v>12</v>
      </c>
      <c r="C1893" t="s">
        <v>19</v>
      </c>
      <c r="D1893" t="s">
        <v>34</v>
      </c>
      <c r="E1893">
        <v>1</v>
      </c>
      <c r="F1893">
        <v>204</v>
      </c>
      <c r="G1893" t="s">
        <v>40</v>
      </c>
      <c r="H1893">
        <v>204</v>
      </c>
      <c r="I1893">
        <v>169.3516984012274</v>
      </c>
      <c r="J1893">
        <v>34.648301598772584</v>
      </c>
    </row>
    <row r="1894" spans="1:10" x14ac:dyDescent="0.35">
      <c r="A1894" s="1">
        <v>45598</v>
      </c>
      <c r="B1894" t="s">
        <v>13</v>
      </c>
      <c r="C1894" t="s">
        <v>21</v>
      </c>
      <c r="D1894" t="s">
        <v>35</v>
      </c>
      <c r="E1894">
        <v>19</v>
      </c>
      <c r="F1894">
        <v>1389</v>
      </c>
      <c r="G1894" t="s">
        <v>40</v>
      </c>
      <c r="H1894">
        <v>26391</v>
      </c>
      <c r="I1894">
        <v>23580.99236687299</v>
      </c>
      <c r="J1894">
        <v>2810.0076331270102</v>
      </c>
    </row>
    <row r="1895" spans="1:10" x14ac:dyDescent="0.35">
      <c r="A1895" s="1">
        <v>45591</v>
      </c>
      <c r="B1895" t="s">
        <v>10</v>
      </c>
      <c r="C1895" t="s">
        <v>21</v>
      </c>
      <c r="D1895" t="s">
        <v>31</v>
      </c>
      <c r="E1895">
        <v>5</v>
      </c>
      <c r="F1895">
        <v>1645</v>
      </c>
      <c r="G1895" t="s">
        <v>40</v>
      </c>
      <c r="H1895">
        <v>8225</v>
      </c>
      <c r="I1895">
        <v>6658.2878018592746</v>
      </c>
      <c r="J1895">
        <v>1566.7121981407249</v>
      </c>
    </row>
    <row r="1896" spans="1:10" x14ac:dyDescent="0.35">
      <c r="A1896" s="1">
        <v>45373</v>
      </c>
      <c r="B1896" t="s">
        <v>10</v>
      </c>
      <c r="C1896" t="s">
        <v>20</v>
      </c>
      <c r="D1896" t="s">
        <v>34</v>
      </c>
      <c r="E1896">
        <v>13</v>
      </c>
      <c r="F1896">
        <v>1619</v>
      </c>
      <c r="G1896" t="s">
        <v>38</v>
      </c>
      <c r="H1896">
        <v>21047</v>
      </c>
      <c r="I1896">
        <v>15259.62082632632</v>
      </c>
      <c r="J1896">
        <v>5787.3791736736803</v>
      </c>
    </row>
    <row r="1897" spans="1:10" x14ac:dyDescent="0.35">
      <c r="A1897" s="1">
        <v>45502</v>
      </c>
      <c r="B1897" t="s">
        <v>12</v>
      </c>
      <c r="C1897" t="s">
        <v>19</v>
      </c>
      <c r="D1897" t="s">
        <v>33</v>
      </c>
      <c r="E1897">
        <v>19</v>
      </c>
      <c r="F1897">
        <v>352</v>
      </c>
      <c r="G1897" t="s">
        <v>40</v>
      </c>
      <c r="H1897">
        <v>6688</v>
      </c>
      <c r="I1897">
        <v>5450.1042740505</v>
      </c>
      <c r="J1897">
        <v>1237.8957259495</v>
      </c>
    </row>
    <row r="1898" spans="1:10" x14ac:dyDescent="0.35">
      <c r="A1898" s="1">
        <v>45441</v>
      </c>
      <c r="B1898" t="s">
        <v>11</v>
      </c>
      <c r="C1898" t="s">
        <v>20</v>
      </c>
      <c r="D1898" t="s">
        <v>30</v>
      </c>
      <c r="E1898">
        <v>12</v>
      </c>
      <c r="F1898">
        <v>394</v>
      </c>
      <c r="G1898" t="s">
        <v>38</v>
      </c>
      <c r="H1898">
        <v>4728</v>
      </c>
      <c r="I1898">
        <v>4114.4872028528544</v>
      </c>
      <c r="J1898">
        <v>613.51279714714565</v>
      </c>
    </row>
    <row r="1899" spans="1:10" x14ac:dyDescent="0.35">
      <c r="A1899" s="1">
        <v>45328</v>
      </c>
      <c r="B1899" t="s">
        <v>12</v>
      </c>
      <c r="C1899" t="s">
        <v>24</v>
      </c>
      <c r="D1899" t="s">
        <v>34</v>
      </c>
      <c r="E1899">
        <v>16</v>
      </c>
      <c r="F1899">
        <v>767</v>
      </c>
      <c r="G1899" t="s">
        <v>40</v>
      </c>
      <c r="H1899">
        <v>12272</v>
      </c>
      <c r="I1899">
        <v>7837.2484991974643</v>
      </c>
      <c r="J1899">
        <v>4434.7515008025357</v>
      </c>
    </row>
    <row r="1900" spans="1:10" x14ac:dyDescent="0.35">
      <c r="A1900" s="1">
        <v>45643</v>
      </c>
      <c r="B1900" t="s">
        <v>11</v>
      </c>
      <c r="C1900" t="s">
        <v>23</v>
      </c>
      <c r="D1900" t="s">
        <v>37</v>
      </c>
      <c r="E1900">
        <v>19</v>
      </c>
      <c r="F1900">
        <v>1281</v>
      </c>
      <c r="G1900" t="s">
        <v>39</v>
      </c>
      <c r="H1900">
        <v>24339</v>
      </c>
      <c r="I1900">
        <v>16540.50213271696</v>
      </c>
      <c r="J1900">
        <v>7798.4978672830403</v>
      </c>
    </row>
    <row r="1901" spans="1:10" x14ac:dyDescent="0.35">
      <c r="A1901" s="1">
        <v>45603</v>
      </c>
      <c r="B1901" t="s">
        <v>13</v>
      </c>
      <c r="C1901" t="s">
        <v>18</v>
      </c>
      <c r="D1901" t="s">
        <v>34</v>
      </c>
      <c r="E1901">
        <v>3</v>
      </c>
      <c r="F1901">
        <v>648</v>
      </c>
      <c r="G1901" t="s">
        <v>39</v>
      </c>
      <c r="H1901">
        <v>1944</v>
      </c>
      <c r="I1901">
        <v>1702.533552779817</v>
      </c>
      <c r="J1901">
        <v>241.46644722018249</v>
      </c>
    </row>
    <row r="1902" spans="1:10" x14ac:dyDescent="0.35">
      <c r="A1902" s="1">
        <v>45652</v>
      </c>
      <c r="B1902" t="s">
        <v>12</v>
      </c>
      <c r="C1902" t="s">
        <v>22</v>
      </c>
      <c r="D1902" t="s">
        <v>36</v>
      </c>
      <c r="E1902">
        <v>12</v>
      </c>
      <c r="F1902">
        <v>730</v>
      </c>
      <c r="G1902" t="s">
        <v>40</v>
      </c>
      <c r="H1902">
        <v>8760</v>
      </c>
      <c r="I1902">
        <v>7742.7000623682179</v>
      </c>
      <c r="J1902">
        <v>1017.299937631782</v>
      </c>
    </row>
    <row r="1903" spans="1:10" x14ac:dyDescent="0.35">
      <c r="A1903" s="1">
        <v>45350</v>
      </c>
      <c r="B1903" t="s">
        <v>10</v>
      </c>
      <c r="C1903" t="s">
        <v>19</v>
      </c>
      <c r="D1903" t="s">
        <v>30</v>
      </c>
      <c r="E1903">
        <v>5</v>
      </c>
      <c r="F1903">
        <v>1190</v>
      </c>
      <c r="G1903" t="s">
        <v>40</v>
      </c>
      <c r="H1903">
        <v>5950</v>
      </c>
      <c r="I1903">
        <v>4434.1883419055321</v>
      </c>
      <c r="J1903">
        <v>1515.8116580944679</v>
      </c>
    </row>
    <row r="1904" spans="1:10" x14ac:dyDescent="0.35">
      <c r="A1904" s="1">
        <v>45422</v>
      </c>
      <c r="B1904" t="s">
        <v>13</v>
      </c>
      <c r="C1904" t="s">
        <v>19</v>
      </c>
      <c r="D1904" t="s">
        <v>36</v>
      </c>
      <c r="E1904">
        <v>2</v>
      </c>
      <c r="F1904">
        <v>1877</v>
      </c>
      <c r="G1904" t="s">
        <v>40</v>
      </c>
      <c r="H1904">
        <v>3754</v>
      </c>
      <c r="I1904">
        <v>2674.219294984794</v>
      </c>
      <c r="J1904">
        <v>1079.780705015206</v>
      </c>
    </row>
    <row r="1905" spans="1:10" x14ac:dyDescent="0.35">
      <c r="A1905" s="1">
        <v>45493</v>
      </c>
      <c r="B1905" t="s">
        <v>10</v>
      </c>
      <c r="C1905" t="s">
        <v>19</v>
      </c>
      <c r="D1905" t="s">
        <v>33</v>
      </c>
      <c r="E1905">
        <v>7</v>
      </c>
      <c r="F1905">
        <v>398</v>
      </c>
      <c r="G1905" t="s">
        <v>40</v>
      </c>
      <c r="H1905">
        <v>2786</v>
      </c>
      <c r="I1905">
        <v>1907.949033123012</v>
      </c>
      <c r="J1905">
        <v>878.05096687698824</v>
      </c>
    </row>
    <row r="1906" spans="1:10" x14ac:dyDescent="0.35">
      <c r="A1906" s="1">
        <v>45534</v>
      </c>
      <c r="B1906" t="s">
        <v>13</v>
      </c>
      <c r="C1906" t="s">
        <v>20</v>
      </c>
      <c r="D1906" t="s">
        <v>34</v>
      </c>
      <c r="E1906">
        <v>13</v>
      </c>
      <c r="F1906">
        <v>1586</v>
      </c>
      <c r="G1906" t="s">
        <v>38</v>
      </c>
      <c r="H1906">
        <v>20618</v>
      </c>
      <c r="I1906">
        <v>15455.77778226408</v>
      </c>
      <c r="J1906">
        <v>5162.2222177359236</v>
      </c>
    </row>
    <row r="1907" spans="1:10" x14ac:dyDescent="0.35">
      <c r="A1907" s="1">
        <v>45326</v>
      </c>
      <c r="B1907" t="s">
        <v>12</v>
      </c>
      <c r="C1907" t="s">
        <v>24</v>
      </c>
      <c r="D1907" t="s">
        <v>35</v>
      </c>
      <c r="E1907">
        <v>15</v>
      </c>
      <c r="F1907">
        <v>1848</v>
      </c>
      <c r="G1907" t="s">
        <v>40</v>
      </c>
      <c r="H1907">
        <v>27720</v>
      </c>
      <c r="I1907">
        <v>24403.561056631192</v>
      </c>
      <c r="J1907">
        <v>3316.438943368812</v>
      </c>
    </row>
    <row r="1908" spans="1:10" x14ac:dyDescent="0.35">
      <c r="A1908" s="1">
        <v>45384</v>
      </c>
      <c r="B1908" t="s">
        <v>11</v>
      </c>
      <c r="C1908" t="s">
        <v>19</v>
      </c>
      <c r="D1908" t="s">
        <v>35</v>
      </c>
      <c r="E1908">
        <v>3</v>
      </c>
      <c r="F1908">
        <v>1943</v>
      </c>
      <c r="G1908" t="s">
        <v>40</v>
      </c>
      <c r="H1908">
        <v>5829</v>
      </c>
      <c r="I1908">
        <v>3759.3720954771452</v>
      </c>
      <c r="J1908">
        <v>2069.6279045228548</v>
      </c>
    </row>
    <row r="1909" spans="1:10" x14ac:dyDescent="0.35">
      <c r="A1909" s="1">
        <v>45498</v>
      </c>
      <c r="B1909" t="s">
        <v>13</v>
      </c>
      <c r="C1909" t="s">
        <v>23</v>
      </c>
      <c r="D1909" t="s">
        <v>32</v>
      </c>
      <c r="E1909">
        <v>5</v>
      </c>
      <c r="F1909">
        <v>200</v>
      </c>
      <c r="G1909" t="s">
        <v>39</v>
      </c>
      <c r="H1909">
        <v>1000</v>
      </c>
      <c r="I1909">
        <v>725.94919156416609</v>
      </c>
      <c r="J1909">
        <v>274.05080843583391</v>
      </c>
    </row>
    <row r="1910" spans="1:10" x14ac:dyDescent="0.35">
      <c r="A1910" s="1">
        <v>45644</v>
      </c>
      <c r="B1910" t="s">
        <v>11</v>
      </c>
      <c r="C1910" t="s">
        <v>19</v>
      </c>
      <c r="D1910" t="s">
        <v>31</v>
      </c>
      <c r="E1910">
        <v>8</v>
      </c>
      <c r="F1910">
        <v>1179</v>
      </c>
      <c r="G1910" t="s">
        <v>40</v>
      </c>
      <c r="H1910">
        <v>9432</v>
      </c>
      <c r="I1910">
        <v>8238.6855920469116</v>
      </c>
      <c r="J1910">
        <v>1193.314407953088</v>
      </c>
    </row>
    <row r="1911" spans="1:10" x14ac:dyDescent="0.35">
      <c r="A1911" s="1">
        <v>45623</v>
      </c>
      <c r="B1911" t="s">
        <v>13</v>
      </c>
      <c r="C1911" t="s">
        <v>21</v>
      </c>
      <c r="D1911" t="s">
        <v>37</v>
      </c>
      <c r="E1911">
        <v>1</v>
      </c>
      <c r="F1911">
        <v>431</v>
      </c>
      <c r="G1911" t="s">
        <v>40</v>
      </c>
      <c r="H1911">
        <v>431</v>
      </c>
      <c r="I1911">
        <v>303.74112162965179</v>
      </c>
      <c r="J1911">
        <v>127.2588783703482</v>
      </c>
    </row>
    <row r="1912" spans="1:10" x14ac:dyDescent="0.35">
      <c r="A1912" s="1">
        <v>45596</v>
      </c>
      <c r="B1912" t="s">
        <v>10</v>
      </c>
      <c r="C1912" t="s">
        <v>18</v>
      </c>
      <c r="D1912" t="s">
        <v>30</v>
      </c>
      <c r="E1912">
        <v>8</v>
      </c>
      <c r="F1912">
        <v>935</v>
      </c>
      <c r="G1912" t="s">
        <v>39</v>
      </c>
      <c r="H1912">
        <v>7480</v>
      </c>
      <c r="I1912">
        <v>6211.574677405697</v>
      </c>
      <c r="J1912">
        <v>1268.425322594303</v>
      </c>
    </row>
    <row r="1913" spans="1:10" x14ac:dyDescent="0.35">
      <c r="A1913" s="1">
        <v>45641</v>
      </c>
      <c r="B1913" t="s">
        <v>10</v>
      </c>
      <c r="C1913" t="s">
        <v>22</v>
      </c>
      <c r="D1913" t="s">
        <v>31</v>
      </c>
      <c r="E1913">
        <v>18</v>
      </c>
      <c r="F1913">
        <v>1874</v>
      </c>
      <c r="G1913" t="s">
        <v>40</v>
      </c>
      <c r="H1913">
        <v>33732</v>
      </c>
      <c r="I1913">
        <v>24178.353332845461</v>
      </c>
      <c r="J1913">
        <v>9553.6466671545422</v>
      </c>
    </row>
    <row r="1914" spans="1:10" x14ac:dyDescent="0.35">
      <c r="A1914" s="1">
        <v>45504</v>
      </c>
      <c r="B1914" t="s">
        <v>13</v>
      </c>
      <c r="C1914" t="s">
        <v>18</v>
      </c>
      <c r="D1914" t="s">
        <v>34</v>
      </c>
      <c r="E1914">
        <v>16</v>
      </c>
      <c r="F1914">
        <v>492</v>
      </c>
      <c r="G1914" t="s">
        <v>39</v>
      </c>
      <c r="H1914">
        <v>7872</v>
      </c>
      <c r="I1914">
        <v>6624.1148435276946</v>
      </c>
      <c r="J1914">
        <v>1247.885156472305</v>
      </c>
    </row>
    <row r="1915" spans="1:10" x14ac:dyDescent="0.35">
      <c r="A1915" s="1">
        <v>45450</v>
      </c>
      <c r="B1915" t="s">
        <v>11</v>
      </c>
      <c r="C1915" t="s">
        <v>21</v>
      </c>
      <c r="D1915" t="s">
        <v>31</v>
      </c>
      <c r="E1915">
        <v>18</v>
      </c>
      <c r="F1915">
        <v>1866</v>
      </c>
      <c r="G1915" t="s">
        <v>40</v>
      </c>
      <c r="H1915">
        <v>33588</v>
      </c>
      <c r="I1915">
        <v>30037.77207910881</v>
      </c>
      <c r="J1915">
        <v>3550.2279208911859</v>
      </c>
    </row>
    <row r="1916" spans="1:10" x14ac:dyDescent="0.35">
      <c r="A1916" s="1">
        <v>45315</v>
      </c>
      <c r="B1916" t="s">
        <v>12</v>
      </c>
      <c r="C1916" t="s">
        <v>21</v>
      </c>
      <c r="D1916" t="s">
        <v>32</v>
      </c>
      <c r="E1916">
        <v>12</v>
      </c>
      <c r="F1916">
        <v>973</v>
      </c>
      <c r="G1916" t="s">
        <v>40</v>
      </c>
      <c r="H1916">
        <v>11676</v>
      </c>
      <c r="I1916">
        <v>8364.0629386430846</v>
      </c>
      <c r="J1916">
        <v>3311.9370613569149</v>
      </c>
    </row>
    <row r="1917" spans="1:10" x14ac:dyDescent="0.35">
      <c r="A1917" s="1">
        <v>45584</v>
      </c>
      <c r="B1917" t="s">
        <v>12</v>
      </c>
      <c r="C1917" t="s">
        <v>22</v>
      </c>
      <c r="D1917" t="s">
        <v>31</v>
      </c>
      <c r="E1917">
        <v>13</v>
      </c>
      <c r="F1917">
        <v>480</v>
      </c>
      <c r="G1917" t="s">
        <v>40</v>
      </c>
      <c r="H1917">
        <v>6240</v>
      </c>
      <c r="I1917">
        <v>5326.0246813629037</v>
      </c>
      <c r="J1917">
        <v>913.97531863709628</v>
      </c>
    </row>
    <row r="1918" spans="1:10" x14ac:dyDescent="0.35">
      <c r="A1918" s="1">
        <v>45295</v>
      </c>
      <c r="B1918" t="s">
        <v>10</v>
      </c>
      <c r="C1918" t="s">
        <v>23</v>
      </c>
      <c r="D1918" t="s">
        <v>30</v>
      </c>
      <c r="E1918">
        <v>13</v>
      </c>
      <c r="F1918">
        <v>191</v>
      </c>
      <c r="G1918" t="s">
        <v>39</v>
      </c>
      <c r="H1918">
        <v>2483</v>
      </c>
      <c r="I1918">
        <v>2226.0716928235402</v>
      </c>
      <c r="J1918">
        <v>256.92830717645978</v>
      </c>
    </row>
    <row r="1919" spans="1:10" x14ac:dyDescent="0.35">
      <c r="A1919" s="1">
        <v>45511</v>
      </c>
      <c r="B1919" t="s">
        <v>12</v>
      </c>
      <c r="C1919" t="s">
        <v>24</v>
      </c>
      <c r="D1919" t="s">
        <v>33</v>
      </c>
      <c r="E1919">
        <v>10</v>
      </c>
      <c r="F1919">
        <v>1914</v>
      </c>
      <c r="G1919" t="s">
        <v>40</v>
      </c>
      <c r="H1919">
        <v>19140</v>
      </c>
      <c r="I1919">
        <v>17133.152681170621</v>
      </c>
      <c r="J1919">
        <v>2006.847318829376</v>
      </c>
    </row>
    <row r="1920" spans="1:10" x14ac:dyDescent="0.35">
      <c r="A1920" s="1">
        <v>45655</v>
      </c>
      <c r="B1920" t="s">
        <v>10</v>
      </c>
      <c r="C1920" t="s">
        <v>21</v>
      </c>
      <c r="D1920" t="s">
        <v>32</v>
      </c>
      <c r="E1920">
        <v>7</v>
      </c>
      <c r="F1920">
        <v>546</v>
      </c>
      <c r="G1920" t="s">
        <v>40</v>
      </c>
      <c r="H1920">
        <v>3822</v>
      </c>
      <c r="I1920">
        <v>2790.5619220860908</v>
      </c>
      <c r="J1920">
        <v>1031.438077913909</v>
      </c>
    </row>
    <row r="1921" spans="1:10" x14ac:dyDescent="0.35">
      <c r="A1921" s="1">
        <v>45311</v>
      </c>
      <c r="B1921" t="s">
        <v>12</v>
      </c>
      <c r="C1921" t="s">
        <v>24</v>
      </c>
      <c r="D1921" t="s">
        <v>33</v>
      </c>
      <c r="E1921">
        <v>14</v>
      </c>
      <c r="F1921">
        <v>208</v>
      </c>
      <c r="G1921" t="s">
        <v>40</v>
      </c>
      <c r="H1921">
        <v>2912</v>
      </c>
      <c r="I1921">
        <v>2171.5609149117372</v>
      </c>
      <c r="J1921">
        <v>740.4390850882628</v>
      </c>
    </row>
    <row r="1922" spans="1:10" x14ac:dyDescent="0.35">
      <c r="A1922" s="1">
        <v>45443</v>
      </c>
      <c r="B1922" t="s">
        <v>50</v>
      </c>
      <c r="C1922" t="s">
        <v>21</v>
      </c>
      <c r="D1922" t="s">
        <v>34</v>
      </c>
      <c r="E1922">
        <v>16</v>
      </c>
      <c r="F1922">
        <v>416</v>
      </c>
      <c r="G1922" t="s">
        <v>40</v>
      </c>
      <c r="H1922">
        <v>6656</v>
      </c>
      <c r="I1922">
        <v>4599.4322382887458</v>
      </c>
      <c r="J1922">
        <v>2056.5677617112542</v>
      </c>
    </row>
    <row r="1923" spans="1:10" x14ac:dyDescent="0.35">
      <c r="A1923" s="1">
        <v>45341</v>
      </c>
      <c r="B1923" t="s">
        <v>10</v>
      </c>
      <c r="C1923" t="s">
        <v>17</v>
      </c>
      <c r="D1923" t="s">
        <v>32</v>
      </c>
      <c r="E1923">
        <v>15</v>
      </c>
      <c r="F1923">
        <v>1291</v>
      </c>
      <c r="G1923" t="s">
        <v>38</v>
      </c>
      <c r="H1923">
        <v>19365</v>
      </c>
      <c r="I1923">
        <v>13443.292007845081</v>
      </c>
      <c r="J1923">
        <v>5921.7079921549212</v>
      </c>
    </row>
    <row r="1924" spans="1:10" x14ac:dyDescent="0.35">
      <c r="A1924" s="1">
        <v>45468</v>
      </c>
      <c r="B1924" t="s">
        <v>10</v>
      </c>
      <c r="C1924" t="s">
        <v>22</v>
      </c>
      <c r="D1924" t="s">
        <v>34</v>
      </c>
      <c r="E1924">
        <v>12</v>
      </c>
      <c r="F1924">
        <v>1935</v>
      </c>
      <c r="G1924" t="s">
        <v>40</v>
      </c>
      <c r="H1924">
        <v>23220</v>
      </c>
      <c r="I1924">
        <v>17362.55035725615</v>
      </c>
      <c r="J1924">
        <v>5857.4496427438498</v>
      </c>
    </row>
    <row r="1925" spans="1:10" x14ac:dyDescent="0.35">
      <c r="A1925" s="1">
        <v>45387</v>
      </c>
      <c r="B1925" t="s">
        <v>13</v>
      </c>
      <c r="C1925" t="s">
        <v>21</v>
      </c>
      <c r="D1925" t="s">
        <v>34</v>
      </c>
      <c r="E1925">
        <v>9</v>
      </c>
      <c r="F1925">
        <v>1558</v>
      </c>
      <c r="G1925" t="s">
        <v>40</v>
      </c>
      <c r="H1925">
        <v>14022</v>
      </c>
      <c r="I1925">
        <v>9256.7015009645202</v>
      </c>
      <c r="J1925">
        <v>4765.2984990354798</v>
      </c>
    </row>
    <row r="1926" spans="1:10" x14ac:dyDescent="0.35">
      <c r="A1926" s="1">
        <v>45396</v>
      </c>
      <c r="B1926" t="s">
        <v>10</v>
      </c>
      <c r="C1926" t="s">
        <v>17</v>
      </c>
      <c r="D1926" t="s">
        <v>31</v>
      </c>
      <c r="E1926">
        <v>8</v>
      </c>
      <c r="F1926">
        <v>541</v>
      </c>
      <c r="G1926" t="s">
        <v>38</v>
      </c>
      <c r="H1926">
        <v>4328</v>
      </c>
      <c r="I1926">
        <v>3520.1224877275581</v>
      </c>
      <c r="J1926">
        <v>807.87751227244189</v>
      </c>
    </row>
    <row r="1927" spans="1:10" x14ac:dyDescent="0.35">
      <c r="A1927" s="1">
        <v>45541</v>
      </c>
      <c r="B1927" t="s">
        <v>12</v>
      </c>
      <c r="C1927" t="s">
        <v>18</v>
      </c>
      <c r="D1927" t="s">
        <v>33</v>
      </c>
      <c r="E1927">
        <v>18</v>
      </c>
      <c r="F1927">
        <v>317</v>
      </c>
      <c r="G1927" t="s">
        <v>39</v>
      </c>
      <c r="H1927">
        <v>5706</v>
      </c>
      <c r="I1927">
        <v>4341.6529497923293</v>
      </c>
      <c r="J1927">
        <v>1364.3470502076709</v>
      </c>
    </row>
    <row r="1928" spans="1:10" x14ac:dyDescent="0.35">
      <c r="A1928" s="1">
        <v>45408</v>
      </c>
      <c r="B1928" t="s">
        <v>12</v>
      </c>
      <c r="C1928" t="s">
        <v>20</v>
      </c>
      <c r="D1928" t="s">
        <v>34</v>
      </c>
      <c r="E1928">
        <v>18</v>
      </c>
      <c r="F1928">
        <v>1345</v>
      </c>
      <c r="G1928" t="s">
        <v>38</v>
      </c>
      <c r="H1928">
        <v>24210</v>
      </c>
      <c r="I1928">
        <v>21048.66684664955</v>
      </c>
      <c r="J1928">
        <v>3161.3331533504502</v>
      </c>
    </row>
    <row r="1929" spans="1:10" x14ac:dyDescent="0.35">
      <c r="A1929" s="1">
        <v>45645</v>
      </c>
      <c r="B1929" t="s">
        <v>10</v>
      </c>
      <c r="C1929" t="s">
        <v>17</v>
      </c>
      <c r="D1929" t="s">
        <v>33</v>
      </c>
      <c r="E1929">
        <v>13</v>
      </c>
      <c r="F1929">
        <v>772</v>
      </c>
      <c r="G1929" t="s">
        <v>38</v>
      </c>
      <c r="H1929">
        <v>10036</v>
      </c>
      <c r="I1929">
        <v>8462.101591716777</v>
      </c>
      <c r="J1929">
        <v>1573.898408283223</v>
      </c>
    </row>
    <row r="1930" spans="1:10" x14ac:dyDescent="0.35">
      <c r="A1930" s="1">
        <v>45519</v>
      </c>
      <c r="B1930" t="s">
        <v>12</v>
      </c>
      <c r="C1930" t="s">
        <v>19</v>
      </c>
      <c r="D1930" t="s">
        <v>33</v>
      </c>
      <c r="E1930">
        <v>18</v>
      </c>
      <c r="F1930">
        <v>1651</v>
      </c>
      <c r="G1930" t="s">
        <v>40</v>
      </c>
      <c r="H1930">
        <v>29718</v>
      </c>
      <c r="I1930">
        <v>20705.758959468429</v>
      </c>
      <c r="J1930">
        <v>9012.2410405315713</v>
      </c>
    </row>
    <row r="1931" spans="1:10" x14ac:dyDescent="0.35">
      <c r="A1931" s="1">
        <v>45357</v>
      </c>
      <c r="B1931" t="s">
        <v>11</v>
      </c>
      <c r="C1931" t="s">
        <v>21</v>
      </c>
      <c r="D1931" t="s">
        <v>32</v>
      </c>
      <c r="E1931">
        <v>15</v>
      </c>
      <c r="F1931">
        <v>377</v>
      </c>
      <c r="G1931" t="s">
        <v>40</v>
      </c>
      <c r="H1931">
        <v>5655</v>
      </c>
      <c r="I1931">
        <v>4251.0975429494729</v>
      </c>
      <c r="J1931">
        <v>1403.9024570505269</v>
      </c>
    </row>
    <row r="1932" spans="1:10" x14ac:dyDescent="0.35">
      <c r="A1932" s="1">
        <v>45626</v>
      </c>
      <c r="B1932" t="s">
        <v>10</v>
      </c>
      <c r="C1932" t="s">
        <v>17</v>
      </c>
      <c r="D1932" t="s">
        <v>36</v>
      </c>
      <c r="E1932">
        <v>4</v>
      </c>
      <c r="F1932">
        <v>1108</v>
      </c>
      <c r="G1932" t="s">
        <v>38</v>
      </c>
      <c r="H1932">
        <v>4432</v>
      </c>
      <c r="I1932">
        <v>3657.0846477885138</v>
      </c>
      <c r="J1932">
        <v>774.9153522114857</v>
      </c>
    </row>
    <row r="1933" spans="1:10" x14ac:dyDescent="0.35">
      <c r="A1933" s="1">
        <v>45553</v>
      </c>
      <c r="B1933" t="s">
        <v>13</v>
      </c>
      <c r="C1933" t="s">
        <v>24</v>
      </c>
      <c r="D1933" t="s">
        <v>31</v>
      </c>
      <c r="E1933">
        <v>17</v>
      </c>
      <c r="F1933">
        <v>668</v>
      </c>
      <c r="G1933" t="s">
        <v>40</v>
      </c>
      <c r="H1933">
        <v>11356</v>
      </c>
      <c r="I1933">
        <v>7471.794194293384</v>
      </c>
      <c r="J1933">
        <v>3884.205805706616</v>
      </c>
    </row>
    <row r="1934" spans="1:10" x14ac:dyDescent="0.35">
      <c r="A1934" s="1">
        <v>45586</v>
      </c>
      <c r="B1934" t="s">
        <v>11</v>
      </c>
      <c r="C1934" t="s">
        <v>20</v>
      </c>
      <c r="D1934" t="s">
        <v>34</v>
      </c>
      <c r="E1934">
        <v>5</v>
      </c>
      <c r="F1934">
        <v>1697</v>
      </c>
      <c r="G1934" t="s">
        <v>38</v>
      </c>
      <c r="H1934">
        <v>8485</v>
      </c>
      <c r="I1934">
        <v>5171.4320212506582</v>
      </c>
      <c r="J1934">
        <v>3313.5679787493418</v>
      </c>
    </row>
    <row r="1935" spans="1:10" x14ac:dyDescent="0.35">
      <c r="A1935" s="1">
        <v>45534</v>
      </c>
      <c r="B1935" t="s">
        <v>10</v>
      </c>
      <c r="C1935" t="s">
        <v>23</v>
      </c>
      <c r="D1935" t="s">
        <v>33</v>
      </c>
      <c r="E1935">
        <v>16</v>
      </c>
      <c r="F1935">
        <v>1109</v>
      </c>
      <c r="G1935" t="s">
        <v>39</v>
      </c>
      <c r="H1935">
        <v>17744</v>
      </c>
      <c r="I1935">
        <v>15183.387454444261</v>
      </c>
      <c r="J1935">
        <v>2560.6125455557431</v>
      </c>
    </row>
    <row r="1936" spans="1:10" x14ac:dyDescent="0.35">
      <c r="A1936" s="1">
        <v>45477</v>
      </c>
      <c r="B1936" t="s">
        <v>13</v>
      </c>
      <c r="C1936" t="s">
        <v>21</v>
      </c>
      <c r="D1936" t="s">
        <v>37</v>
      </c>
      <c r="E1936">
        <v>9</v>
      </c>
      <c r="F1936">
        <v>974</v>
      </c>
      <c r="G1936" t="s">
        <v>40</v>
      </c>
      <c r="H1936">
        <v>8766</v>
      </c>
      <c r="I1936">
        <v>5621.329667154956</v>
      </c>
      <c r="J1936">
        <v>3144.670332845044</v>
      </c>
    </row>
    <row r="1937" spans="1:10" x14ac:dyDescent="0.35">
      <c r="A1937" s="1">
        <v>45537</v>
      </c>
      <c r="B1937" t="s">
        <v>12</v>
      </c>
      <c r="C1937" t="s">
        <v>19</v>
      </c>
      <c r="D1937" t="s">
        <v>36</v>
      </c>
      <c r="E1937">
        <v>10</v>
      </c>
      <c r="F1937">
        <v>565</v>
      </c>
      <c r="G1937" t="s">
        <v>40</v>
      </c>
      <c r="H1937">
        <v>5650</v>
      </c>
      <c r="I1937">
        <v>4897.5523754665319</v>
      </c>
      <c r="J1937">
        <v>752.44762453346812</v>
      </c>
    </row>
    <row r="1938" spans="1:10" x14ac:dyDescent="0.35">
      <c r="A1938" s="1">
        <v>45416</v>
      </c>
      <c r="B1938" t="s">
        <v>13</v>
      </c>
      <c r="C1938" t="s">
        <v>23</v>
      </c>
      <c r="D1938" t="s">
        <v>34</v>
      </c>
      <c r="E1938">
        <v>18</v>
      </c>
      <c r="F1938">
        <v>938</v>
      </c>
      <c r="G1938" t="s">
        <v>39</v>
      </c>
      <c r="H1938">
        <v>16884</v>
      </c>
      <c r="I1938">
        <v>14758.00736256277</v>
      </c>
      <c r="J1938">
        <v>2125.9926374372262</v>
      </c>
    </row>
    <row r="1939" spans="1:10" x14ac:dyDescent="0.35">
      <c r="A1939" s="1">
        <v>45559</v>
      </c>
      <c r="B1939" t="s">
        <v>11</v>
      </c>
      <c r="C1939" t="s">
        <v>17</v>
      </c>
      <c r="D1939" t="s">
        <v>37</v>
      </c>
      <c r="E1939">
        <v>17</v>
      </c>
      <c r="F1939">
        <v>853</v>
      </c>
      <c r="G1939" t="s">
        <v>38</v>
      </c>
      <c r="H1939">
        <v>14501</v>
      </c>
      <c r="I1939">
        <v>10704.78511602807</v>
      </c>
      <c r="J1939">
        <v>3796.2148839719271</v>
      </c>
    </row>
    <row r="1940" spans="1:10" x14ac:dyDescent="0.35">
      <c r="A1940" s="1">
        <v>45422</v>
      </c>
      <c r="B1940" t="s">
        <v>12</v>
      </c>
      <c r="C1940" t="s">
        <v>23</v>
      </c>
      <c r="D1940" t="s">
        <v>31</v>
      </c>
      <c r="E1940">
        <v>18</v>
      </c>
      <c r="F1940">
        <v>1725</v>
      </c>
      <c r="G1940" t="s">
        <v>39</v>
      </c>
      <c r="H1940">
        <v>31050</v>
      </c>
      <c r="I1940">
        <v>26145.171650564269</v>
      </c>
      <c r="J1940">
        <v>4904.8283494357347</v>
      </c>
    </row>
    <row r="1941" spans="1:10" x14ac:dyDescent="0.35">
      <c r="A1941" s="1">
        <v>45528</v>
      </c>
      <c r="B1941" t="s">
        <v>10</v>
      </c>
      <c r="C1941" t="s">
        <v>23</v>
      </c>
      <c r="D1941" t="s">
        <v>31</v>
      </c>
      <c r="E1941">
        <v>7</v>
      </c>
      <c r="F1941">
        <v>1707</v>
      </c>
      <c r="G1941" t="s">
        <v>39</v>
      </c>
      <c r="H1941">
        <v>11949</v>
      </c>
      <c r="I1941">
        <v>8471.3316608056793</v>
      </c>
      <c r="J1941">
        <v>3477.6683391943211</v>
      </c>
    </row>
    <row r="1942" spans="1:10" x14ac:dyDescent="0.35">
      <c r="A1942" s="1">
        <v>45309</v>
      </c>
      <c r="B1942" t="s">
        <v>12</v>
      </c>
      <c r="C1942" t="s">
        <v>20</v>
      </c>
      <c r="D1942" t="s">
        <v>33</v>
      </c>
      <c r="E1942">
        <v>4</v>
      </c>
      <c r="F1942">
        <v>937</v>
      </c>
      <c r="G1942" t="s">
        <v>38</v>
      </c>
      <c r="H1942">
        <v>3748</v>
      </c>
      <c r="I1942">
        <v>3213.8326583466078</v>
      </c>
      <c r="J1942">
        <v>534.16734165339176</v>
      </c>
    </row>
    <row r="1943" spans="1:10" x14ac:dyDescent="0.35">
      <c r="A1943" s="1">
        <v>45331</v>
      </c>
      <c r="B1943" t="s">
        <v>10</v>
      </c>
      <c r="C1943" t="s">
        <v>18</v>
      </c>
      <c r="D1943" t="s">
        <v>33</v>
      </c>
      <c r="E1943">
        <v>5</v>
      </c>
      <c r="F1943">
        <v>129</v>
      </c>
      <c r="G1943" t="s">
        <v>39</v>
      </c>
      <c r="H1943">
        <v>645</v>
      </c>
      <c r="I1943">
        <v>546.57594458625977</v>
      </c>
      <c r="J1943">
        <v>98.424055413740234</v>
      </c>
    </row>
    <row r="1944" spans="1:10" x14ac:dyDescent="0.35">
      <c r="A1944" s="1">
        <v>45312</v>
      </c>
      <c r="B1944" t="s">
        <v>10</v>
      </c>
      <c r="C1944" t="s">
        <v>23</v>
      </c>
      <c r="D1944" t="s">
        <v>30</v>
      </c>
      <c r="E1944">
        <v>16</v>
      </c>
      <c r="F1944">
        <v>458</v>
      </c>
      <c r="G1944" t="s">
        <v>39</v>
      </c>
      <c r="H1944">
        <v>7328</v>
      </c>
      <c r="I1944">
        <v>4569.4148279191231</v>
      </c>
      <c r="J1944">
        <v>2758.5851720808769</v>
      </c>
    </row>
    <row r="1945" spans="1:10" x14ac:dyDescent="0.35">
      <c r="A1945" s="1">
        <v>45516</v>
      </c>
      <c r="B1945" t="s">
        <v>13</v>
      </c>
      <c r="C1945" t="s">
        <v>23</v>
      </c>
      <c r="D1945" t="s">
        <v>30</v>
      </c>
      <c r="E1945">
        <v>3</v>
      </c>
      <c r="F1945">
        <v>1411</v>
      </c>
      <c r="G1945" t="s">
        <v>39</v>
      </c>
      <c r="H1945">
        <v>4233</v>
      </c>
      <c r="I1945">
        <v>3279.645950581431</v>
      </c>
      <c r="J1945">
        <v>953.35404941856905</v>
      </c>
    </row>
    <row r="1946" spans="1:10" x14ac:dyDescent="0.35">
      <c r="A1946" s="1">
        <v>45646</v>
      </c>
      <c r="B1946" t="s">
        <v>13</v>
      </c>
      <c r="C1946" t="s">
        <v>21</v>
      </c>
      <c r="D1946" t="s">
        <v>34</v>
      </c>
      <c r="E1946">
        <v>18</v>
      </c>
      <c r="F1946">
        <v>185</v>
      </c>
      <c r="G1946" t="s">
        <v>40</v>
      </c>
      <c r="H1946">
        <v>3330</v>
      </c>
      <c r="I1946">
        <v>2637.358904693152</v>
      </c>
      <c r="J1946">
        <v>692.64109530684846</v>
      </c>
    </row>
    <row r="1947" spans="1:10" x14ac:dyDescent="0.35">
      <c r="A1947" s="1">
        <v>45573</v>
      </c>
      <c r="B1947" t="s">
        <v>13</v>
      </c>
      <c r="C1947" t="s">
        <v>18</v>
      </c>
      <c r="D1947" t="s">
        <v>32</v>
      </c>
      <c r="E1947">
        <v>14</v>
      </c>
      <c r="F1947">
        <v>1357</v>
      </c>
      <c r="G1947" t="s">
        <v>39</v>
      </c>
      <c r="H1947">
        <v>18998</v>
      </c>
      <c r="I1947">
        <v>11403.686042548419</v>
      </c>
      <c r="J1947">
        <v>7594.3139574515808</v>
      </c>
    </row>
    <row r="1948" spans="1:10" x14ac:dyDescent="0.35">
      <c r="A1948" s="1">
        <v>45299</v>
      </c>
      <c r="B1948" t="s">
        <v>11</v>
      </c>
      <c r="C1948" t="s">
        <v>20</v>
      </c>
      <c r="D1948" t="s">
        <v>36</v>
      </c>
      <c r="E1948">
        <v>15</v>
      </c>
      <c r="F1948">
        <v>846</v>
      </c>
      <c r="G1948" t="s">
        <v>38</v>
      </c>
      <c r="H1948">
        <v>12690</v>
      </c>
      <c r="I1948">
        <v>11344.549039402429</v>
      </c>
      <c r="J1948">
        <v>1345.4509605975729</v>
      </c>
    </row>
    <row r="1949" spans="1:10" x14ac:dyDescent="0.35">
      <c r="A1949" s="1">
        <v>45391</v>
      </c>
      <c r="B1949" t="s">
        <v>11</v>
      </c>
      <c r="C1949" t="s">
        <v>19</v>
      </c>
      <c r="D1949" t="s">
        <v>34</v>
      </c>
      <c r="E1949">
        <v>17</v>
      </c>
      <c r="F1949">
        <v>412</v>
      </c>
      <c r="G1949" t="s">
        <v>40</v>
      </c>
      <c r="H1949">
        <v>7004</v>
      </c>
      <c r="I1949">
        <v>5056.6797883813742</v>
      </c>
      <c r="J1949">
        <v>1947.320211618626</v>
      </c>
    </row>
    <row r="1950" spans="1:10" x14ac:dyDescent="0.35">
      <c r="A1950" s="1">
        <v>45531</v>
      </c>
      <c r="B1950" t="s">
        <v>13</v>
      </c>
      <c r="C1950" t="s">
        <v>17</v>
      </c>
      <c r="D1950" t="s">
        <v>36</v>
      </c>
      <c r="E1950">
        <v>1</v>
      </c>
      <c r="F1950">
        <v>464</v>
      </c>
      <c r="G1950" t="s">
        <v>38</v>
      </c>
      <c r="H1950">
        <v>464</v>
      </c>
      <c r="I1950">
        <v>350.41417425560252</v>
      </c>
      <c r="J1950">
        <v>113.5858257443975</v>
      </c>
    </row>
    <row r="1951" spans="1:10" x14ac:dyDescent="0.35">
      <c r="A1951" s="1">
        <v>45378</v>
      </c>
      <c r="B1951" t="s">
        <v>11</v>
      </c>
      <c r="C1951" t="s">
        <v>20</v>
      </c>
      <c r="D1951" t="s">
        <v>33</v>
      </c>
      <c r="E1951">
        <v>17</v>
      </c>
      <c r="F1951">
        <v>1900</v>
      </c>
      <c r="G1951" t="s">
        <v>38</v>
      </c>
      <c r="H1951">
        <v>32300</v>
      </c>
      <c r="I1951">
        <v>21267.65153319437</v>
      </c>
      <c r="J1951">
        <v>11032.34846680563</v>
      </c>
    </row>
    <row r="1952" spans="1:10" x14ac:dyDescent="0.35">
      <c r="A1952" s="1">
        <v>45589</v>
      </c>
      <c r="B1952" t="s">
        <v>12</v>
      </c>
      <c r="D1952" t="s">
        <v>31</v>
      </c>
      <c r="E1952">
        <v>11</v>
      </c>
      <c r="F1952">
        <v>1922</v>
      </c>
      <c r="G1952" t="s">
        <v>38</v>
      </c>
      <c r="H1952">
        <v>21142</v>
      </c>
      <c r="I1952">
        <v>16560.012169760979</v>
      </c>
      <c r="J1952">
        <v>4581.9878302390171</v>
      </c>
    </row>
    <row r="1953" spans="1:10" x14ac:dyDescent="0.35">
      <c r="A1953" s="1">
        <v>45305</v>
      </c>
      <c r="B1953" t="s">
        <v>12</v>
      </c>
      <c r="C1953" t="s">
        <v>22</v>
      </c>
      <c r="D1953" t="s">
        <v>33</v>
      </c>
      <c r="E1953">
        <v>17</v>
      </c>
      <c r="F1953">
        <v>1962</v>
      </c>
      <c r="G1953" t="s">
        <v>40</v>
      </c>
      <c r="H1953">
        <v>33354</v>
      </c>
      <c r="I1953">
        <v>28123.624505964519</v>
      </c>
      <c r="J1953">
        <v>5230.3754940354811</v>
      </c>
    </row>
    <row r="1954" spans="1:10" x14ac:dyDescent="0.35">
      <c r="A1954" s="1">
        <v>45625</v>
      </c>
      <c r="B1954" t="s">
        <v>11</v>
      </c>
      <c r="C1954" t="s">
        <v>20</v>
      </c>
      <c r="D1954" t="s">
        <v>31</v>
      </c>
      <c r="E1954">
        <v>14</v>
      </c>
      <c r="F1954">
        <v>1004</v>
      </c>
      <c r="G1954" t="s">
        <v>38</v>
      </c>
      <c r="H1954">
        <v>14056</v>
      </c>
      <c r="I1954">
        <v>10904.19084343095</v>
      </c>
      <c r="J1954">
        <v>3151.8091565690502</v>
      </c>
    </row>
    <row r="1955" spans="1:10" x14ac:dyDescent="0.35">
      <c r="A1955" s="1">
        <v>45293</v>
      </c>
      <c r="B1955" t="s">
        <v>11</v>
      </c>
      <c r="C1955" t="s">
        <v>18</v>
      </c>
      <c r="D1955" t="s">
        <v>30</v>
      </c>
      <c r="E1955">
        <v>19</v>
      </c>
      <c r="F1955">
        <v>1392</v>
      </c>
      <c r="G1955" t="s">
        <v>39</v>
      </c>
      <c r="H1955">
        <v>26448</v>
      </c>
      <c r="I1955">
        <v>22121.385267412159</v>
      </c>
      <c r="J1955">
        <v>4326.614732587841</v>
      </c>
    </row>
    <row r="1956" spans="1:10" x14ac:dyDescent="0.35">
      <c r="A1956" s="1">
        <v>45584</v>
      </c>
      <c r="B1956" t="s">
        <v>12</v>
      </c>
      <c r="C1956" t="s">
        <v>22</v>
      </c>
      <c r="E1956">
        <v>7</v>
      </c>
      <c r="F1956">
        <v>797</v>
      </c>
      <c r="G1956" t="s">
        <v>40</v>
      </c>
      <c r="H1956">
        <v>5579</v>
      </c>
      <c r="I1956">
        <v>4571.0553938539961</v>
      </c>
      <c r="J1956">
        <v>1007.944606146004</v>
      </c>
    </row>
    <row r="1957" spans="1:10" x14ac:dyDescent="0.35">
      <c r="A1957" s="1">
        <v>45616</v>
      </c>
      <c r="B1957" t="s">
        <v>10</v>
      </c>
      <c r="C1957" t="s">
        <v>17</v>
      </c>
      <c r="D1957" t="s">
        <v>30</v>
      </c>
      <c r="E1957">
        <v>13</v>
      </c>
      <c r="F1957">
        <v>230</v>
      </c>
      <c r="G1957" t="s">
        <v>38</v>
      </c>
      <c r="H1957">
        <v>2990</v>
      </c>
      <c r="I1957">
        <v>2007.1790569398429</v>
      </c>
      <c r="J1957">
        <v>982.82094306015711</v>
      </c>
    </row>
    <row r="1958" spans="1:10" x14ac:dyDescent="0.35">
      <c r="A1958" s="1">
        <v>45332</v>
      </c>
      <c r="B1958" t="s">
        <v>12</v>
      </c>
      <c r="C1958" t="s">
        <v>23</v>
      </c>
      <c r="D1958" t="s">
        <v>31</v>
      </c>
      <c r="E1958">
        <v>18</v>
      </c>
      <c r="F1958">
        <v>902</v>
      </c>
      <c r="G1958" t="s">
        <v>39</v>
      </c>
      <c r="H1958">
        <v>16236</v>
      </c>
      <c r="I1958">
        <v>11864.35718647447</v>
      </c>
      <c r="J1958">
        <v>4371.6428135255337</v>
      </c>
    </row>
    <row r="1959" spans="1:10" x14ac:dyDescent="0.35">
      <c r="A1959" s="1">
        <v>45609</v>
      </c>
      <c r="B1959" t="s">
        <v>12</v>
      </c>
      <c r="C1959" t="s">
        <v>21</v>
      </c>
      <c r="D1959" t="s">
        <v>33</v>
      </c>
      <c r="E1959">
        <v>14</v>
      </c>
      <c r="F1959">
        <v>888</v>
      </c>
      <c r="G1959" t="s">
        <v>40</v>
      </c>
      <c r="H1959">
        <v>12432</v>
      </c>
      <c r="I1959">
        <v>8013.51882819403</v>
      </c>
      <c r="J1959">
        <v>4418.48117180597</v>
      </c>
    </row>
    <row r="1960" spans="1:10" x14ac:dyDescent="0.35">
      <c r="A1960" s="1">
        <v>45607</v>
      </c>
      <c r="B1960" t="s">
        <v>11</v>
      </c>
      <c r="C1960" t="s">
        <v>21</v>
      </c>
      <c r="D1960" t="s">
        <v>30</v>
      </c>
      <c r="E1960">
        <v>1</v>
      </c>
      <c r="F1960">
        <v>1955</v>
      </c>
      <c r="G1960" t="s">
        <v>40</v>
      </c>
      <c r="H1960">
        <v>1955</v>
      </c>
      <c r="I1960">
        <v>1197.595390731547</v>
      </c>
      <c r="J1960">
        <v>757.40460926845276</v>
      </c>
    </row>
    <row r="1961" spans="1:10" x14ac:dyDescent="0.35">
      <c r="A1961" s="1">
        <v>45402</v>
      </c>
      <c r="B1961" t="s">
        <v>12</v>
      </c>
      <c r="C1961" t="s">
        <v>17</v>
      </c>
      <c r="D1961" t="s">
        <v>35</v>
      </c>
      <c r="E1961">
        <v>7</v>
      </c>
      <c r="F1961">
        <v>450</v>
      </c>
      <c r="G1961" t="s">
        <v>38</v>
      </c>
      <c r="H1961">
        <v>3150</v>
      </c>
      <c r="I1961">
        <v>1949.6001627246039</v>
      </c>
      <c r="J1961">
        <v>1200.3998372753961</v>
      </c>
    </row>
    <row r="1962" spans="1:10" x14ac:dyDescent="0.35">
      <c r="A1962" s="1">
        <v>45305</v>
      </c>
      <c r="B1962" t="s">
        <v>11</v>
      </c>
      <c r="C1962" t="s">
        <v>17</v>
      </c>
      <c r="D1962" t="s">
        <v>36</v>
      </c>
      <c r="E1962">
        <v>8</v>
      </c>
      <c r="F1962">
        <v>279</v>
      </c>
      <c r="G1962" t="s">
        <v>38</v>
      </c>
      <c r="H1962">
        <v>2232</v>
      </c>
      <c r="I1962">
        <v>1970.297953042887</v>
      </c>
      <c r="J1962">
        <v>261.70204695711249</v>
      </c>
    </row>
    <row r="1963" spans="1:10" x14ac:dyDescent="0.35">
      <c r="A1963" s="1">
        <v>45522</v>
      </c>
      <c r="B1963" t="s">
        <v>11</v>
      </c>
      <c r="C1963" t="s">
        <v>18</v>
      </c>
      <c r="D1963" t="s">
        <v>37</v>
      </c>
      <c r="E1963">
        <v>18</v>
      </c>
      <c r="F1963">
        <v>1925</v>
      </c>
      <c r="G1963" t="s">
        <v>39</v>
      </c>
      <c r="H1963">
        <v>34650</v>
      </c>
      <c r="I1963">
        <v>31024.266887701859</v>
      </c>
      <c r="J1963">
        <v>3625.7331122981382</v>
      </c>
    </row>
    <row r="1964" spans="1:10" x14ac:dyDescent="0.35">
      <c r="A1964" s="1">
        <v>45375</v>
      </c>
      <c r="B1964" t="s">
        <v>13</v>
      </c>
      <c r="C1964" t="s">
        <v>24</v>
      </c>
      <c r="D1964" t="s">
        <v>31</v>
      </c>
      <c r="E1964">
        <v>9</v>
      </c>
      <c r="F1964">
        <v>1603</v>
      </c>
      <c r="G1964" t="s">
        <v>40</v>
      </c>
      <c r="H1964">
        <v>14427</v>
      </c>
      <c r="I1964">
        <v>9067.2721525905126</v>
      </c>
      <c r="J1964">
        <v>5359.7278474094874</v>
      </c>
    </row>
    <row r="1965" spans="1:10" x14ac:dyDescent="0.35">
      <c r="A1965" s="1">
        <v>45421</v>
      </c>
      <c r="B1965" t="s">
        <v>12</v>
      </c>
      <c r="C1965" t="s">
        <v>23</v>
      </c>
      <c r="D1965" t="s">
        <v>31</v>
      </c>
      <c r="E1965">
        <v>1</v>
      </c>
      <c r="F1965">
        <v>1286</v>
      </c>
      <c r="G1965" t="s">
        <v>39</v>
      </c>
      <c r="H1965">
        <v>1286</v>
      </c>
      <c r="I1965">
        <v>900.91762728937636</v>
      </c>
      <c r="J1965">
        <v>385.08237271062359</v>
      </c>
    </row>
    <row r="1966" spans="1:10" x14ac:dyDescent="0.35">
      <c r="A1966" s="1">
        <v>45522</v>
      </c>
      <c r="B1966" t="s">
        <v>10</v>
      </c>
      <c r="C1966" t="s">
        <v>17</v>
      </c>
      <c r="D1966" t="s">
        <v>35</v>
      </c>
      <c r="E1966">
        <v>17</v>
      </c>
      <c r="F1966">
        <v>1906</v>
      </c>
      <c r="G1966" t="s">
        <v>38</v>
      </c>
      <c r="H1966">
        <v>32402</v>
      </c>
      <c r="I1966">
        <v>20553.43766352463</v>
      </c>
      <c r="J1966">
        <v>11848.56233647537</v>
      </c>
    </row>
    <row r="1967" spans="1:10" x14ac:dyDescent="0.35">
      <c r="A1967" s="1">
        <v>45617</v>
      </c>
      <c r="B1967" t="s">
        <v>13</v>
      </c>
      <c r="C1967" t="s">
        <v>20</v>
      </c>
      <c r="D1967" t="s">
        <v>34</v>
      </c>
      <c r="E1967">
        <v>19</v>
      </c>
      <c r="F1967">
        <v>1219</v>
      </c>
      <c r="G1967" t="s">
        <v>38</v>
      </c>
      <c r="H1967">
        <v>23161</v>
      </c>
      <c r="I1967">
        <v>19693.072133414611</v>
      </c>
      <c r="J1967">
        <v>3467.9278665853931</v>
      </c>
    </row>
    <row r="1968" spans="1:10" x14ac:dyDescent="0.35">
      <c r="A1968" s="1">
        <v>45436</v>
      </c>
      <c r="B1968" t="s">
        <v>11</v>
      </c>
      <c r="C1968" t="s">
        <v>18</v>
      </c>
      <c r="D1968" t="s">
        <v>34</v>
      </c>
      <c r="E1968">
        <v>6</v>
      </c>
      <c r="F1968">
        <v>873</v>
      </c>
      <c r="G1968" t="s">
        <v>39</v>
      </c>
      <c r="H1968">
        <v>5238</v>
      </c>
      <c r="I1968">
        <v>3922.6812498035379</v>
      </c>
      <c r="J1968">
        <v>1315.3187501964619</v>
      </c>
    </row>
    <row r="1969" spans="1:10" x14ac:dyDescent="0.35">
      <c r="A1969" s="1">
        <v>45636</v>
      </c>
      <c r="B1969" t="s">
        <v>11</v>
      </c>
      <c r="C1969" t="s">
        <v>21</v>
      </c>
      <c r="D1969" t="s">
        <v>34</v>
      </c>
      <c r="E1969">
        <v>3</v>
      </c>
      <c r="F1969">
        <v>609</v>
      </c>
      <c r="G1969" t="s">
        <v>40</v>
      </c>
      <c r="H1969">
        <v>1827</v>
      </c>
      <c r="I1969">
        <v>1436.713568422794</v>
      </c>
      <c r="J1969">
        <v>390.28643157720632</v>
      </c>
    </row>
    <row r="1970" spans="1:10" x14ac:dyDescent="0.35">
      <c r="A1970" s="1">
        <v>45319</v>
      </c>
      <c r="B1970" t="s">
        <v>10</v>
      </c>
      <c r="C1970" t="s">
        <v>19</v>
      </c>
      <c r="D1970" t="s">
        <v>37</v>
      </c>
      <c r="E1970">
        <v>5</v>
      </c>
      <c r="F1970">
        <v>464</v>
      </c>
      <c r="G1970" t="s">
        <v>40</v>
      </c>
      <c r="H1970">
        <v>2320</v>
      </c>
      <c r="I1970">
        <v>1767.7779625515641</v>
      </c>
      <c r="J1970">
        <v>552.22203744843569</v>
      </c>
    </row>
    <row r="1971" spans="1:10" x14ac:dyDescent="0.35">
      <c r="A1971" s="1">
        <v>45357</v>
      </c>
      <c r="B1971" t="s">
        <v>11</v>
      </c>
      <c r="C1971" t="s">
        <v>18</v>
      </c>
      <c r="D1971" t="s">
        <v>32</v>
      </c>
      <c r="E1971">
        <v>2</v>
      </c>
      <c r="F1971">
        <v>1080</v>
      </c>
      <c r="G1971" t="s">
        <v>39</v>
      </c>
      <c r="H1971">
        <v>2160</v>
      </c>
      <c r="I1971">
        <v>1756.2443223287839</v>
      </c>
      <c r="J1971">
        <v>403.75567767121612</v>
      </c>
    </row>
    <row r="1972" spans="1:10" x14ac:dyDescent="0.35">
      <c r="A1972" s="1">
        <v>45454</v>
      </c>
      <c r="B1972" t="s">
        <v>12</v>
      </c>
      <c r="C1972" t="s">
        <v>21</v>
      </c>
      <c r="D1972" t="s">
        <v>35</v>
      </c>
      <c r="E1972">
        <v>4</v>
      </c>
      <c r="F1972">
        <v>452</v>
      </c>
      <c r="G1972" t="s">
        <v>40</v>
      </c>
      <c r="H1972">
        <v>1808</v>
      </c>
      <c r="I1972">
        <v>1257.8973287751739</v>
      </c>
      <c r="J1972">
        <v>550.10267122482628</v>
      </c>
    </row>
    <row r="1973" spans="1:10" x14ac:dyDescent="0.35">
      <c r="A1973" s="1">
        <v>45520</v>
      </c>
      <c r="B1973" t="s">
        <v>13</v>
      </c>
      <c r="C1973" t="s">
        <v>22</v>
      </c>
      <c r="D1973" t="s">
        <v>37</v>
      </c>
      <c r="E1973">
        <v>10</v>
      </c>
      <c r="F1973">
        <v>899</v>
      </c>
      <c r="G1973" t="s">
        <v>40</v>
      </c>
      <c r="H1973">
        <v>8990</v>
      </c>
      <c r="I1973">
        <v>5764.8195771674973</v>
      </c>
      <c r="J1973">
        <v>3225.1804228325032</v>
      </c>
    </row>
    <row r="1974" spans="1:10" x14ac:dyDescent="0.35">
      <c r="A1974" s="1">
        <v>45552</v>
      </c>
      <c r="B1974" t="s">
        <v>11</v>
      </c>
      <c r="D1974" t="s">
        <v>30</v>
      </c>
      <c r="E1974">
        <v>10</v>
      </c>
      <c r="F1974">
        <v>1559</v>
      </c>
      <c r="G1974" t="s">
        <v>39</v>
      </c>
      <c r="H1974">
        <v>15590</v>
      </c>
      <c r="I1974">
        <v>9436.4087527668707</v>
      </c>
      <c r="J1974">
        <v>6153.5912472331293</v>
      </c>
    </row>
    <row r="1975" spans="1:10" x14ac:dyDescent="0.35">
      <c r="A1975" s="1">
        <v>45455</v>
      </c>
      <c r="B1975" t="s">
        <v>11</v>
      </c>
      <c r="C1975" t="s">
        <v>21</v>
      </c>
      <c r="D1975" t="s">
        <v>35</v>
      </c>
      <c r="E1975">
        <v>11</v>
      </c>
      <c r="F1975">
        <v>1206</v>
      </c>
      <c r="G1975" t="s">
        <v>40</v>
      </c>
      <c r="H1975">
        <v>13266</v>
      </c>
      <c r="I1975">
        <v>9733.3685581535083</v>
      </c>
      <c r="J1975">
        <v>3532.6314418464922</v>
      </c>
    </row>
    <row r="1976" spans="1:10" x14ac:dyDescent="0.35">
      <c r="A1976" s="1">
        <v>45592</v>
      </c>
      <c r="B1976" t="s">
        <v>10</v>
      </c>
      <c r="C1976" t="s">
        <v>24</v>
      </c>
      <c r="D1976" t="s">
        <v>31</v>
      </c>
      <c r="E1976">
        <v>16</v>
      </c>
      <c r="F1976">
        <v>1348</v>
      </c>
      <c r="G1976" t="s">
        <v>40</v>
      </c>
      <c r="H1976">
        <v>21568</v>
      </c>
      <c r="I1976">
        <v>18814.851888052119</v>
      </c>
      <c r="J1976">
        <v>2753.1481119478849</v>
      </c>
    </row>
    <row r="1977" spans="1:10" x14ac:dyDescent="0.35">
      <c r="A1977" s="1">
        <v>45594</v>
      </c>
      <c r="B1977" t="s">
        <v>12</v>
      </c>
      <c r="C1977" t="s">
        <v>18</v>
      </c>
      <c r="D1977" t="s">
        <v>36</v>
      </c>
      <c r="E1977">
        <v>17</v>
      </c>
      <c r="F1977">
        <v>511</v>
      </c>
      <c r="G1977" t="s">
        <v>39</v>
      </c>
      <c r="H1977">
        <v>8687</v>
      </c>
      <c r="I1977">
        <v>6007.7551247137681</v>
      </c>
      <c r="J1977">
        <v>2679.2448752862319</v>
      </c>
    </row>
    <row r="1978" spans="1:10" x14ac:dyDescent="0.35">
      <c r="A1978" s="1">
        <v>45578</v>
      </c>
      <c r="B1978" t="s">
        <v>50</v>
      </c>
      <c r="C1978" t="s">
        <v>18</v>
      </c>
      <c r="D1978" t="s">
        <v>35</v>
      </c>
      <c r="E1978">
        <v>16</v>
      </c>
      <c r="F1978">
        <v>834</v>
      </c>
      <c r="G1978" t="s">
        <v>39</v>
      </c>
      <c r="H1978">
        <v>13344</v>
      </c>
      <c r="I1978">
        <v>8790.8543463701262</v>
      </c>
      <c r="J1978">
        <v>4553.1456536298738</v>
      </c>
    </row>
    <row r="1979" spans="1:10" x14ac:dyDescent="0.35">
      <c r="A1979" s="1">
        <v>45301</v>
      </c>
      <c r="B1979" t="s">
        <v>10</v>
      </c>
      <c r="C1979" t="s">
        <v>23</v>
      </c>
      <c r="D1979" t="s">
        <v>32</v>
      </c>
      <c r="E1979">
        <v>7</v>
      </c>
      <c r="F1979">
        <v>1080</v>
      </c>
      <c r="G1979" t="s">
        <v>39</v>
      </c>
      <c r="H1979">
        <v>7560</v>
      </c>
      <c r="I1979">
        <v>6636.2649484884396</v>
      </c>
      <c r="J1979">
        <v>923.73505151156041</v>
      </c>
    </row>
    <row r="1980" spans="1:10" x14ac:dyDescent="0.35">
      <c r="A1980" s="1">
        <v>45486</v>
      </c>
      <c r="B1980" t="s">
        <v>11</v>
      </c>
      <c r="C1980" t="s">
        <v>17</v>
      </c>
      <c r="D1980" t="s">
        <v>33</v>
      </c>
      <c r="E1980">
        <v>16</v>
      </c>
      <c r="F1980">
        <v>217</v>
      </c>
      <c r="G1980" t="s">
        <v>38</v>
      </c>
      <c r="H1980">
        <v>3472</v>
      </c>
      <c r="I1980">
        <v>2193.0353021233482</v>
      </c>
      <c r="J1980">
        <v>1278.9646978766521</v>
      </c>
    </row>
    <row r="1981" spans="1:10" x14ac:dyDescent="0.35">
      <c r="A1981" s="1">
        <v>45409</v>
      </c>
      <c r="B1981" t="s">
        <v>10</v>
      </c>
      <c r="C1981" t="s">
        <v>23</v>
      </c>
      <c r="D1981" t="s">
        <v>30</v>
      </c>
      <c r="E1981">
        <v>3</v>
      </c>
      <c r="F1981">
        <v>581</v>
      </c>
      <c r="G1981" t="s">
        <v>39</v>
      </c>
      <c r="H1981">
        <v>1743</v>
      </c>
      <c r="I1981">
        <v>1072.8867603731269</v>
      </c>
      <c r="J1981">
        <v>670.11323962687311</v>
      </c>
    </row>
    <row r="1982" spans="1:10" x14ac:dyDescent="0.35">
      <c r="A1982" s="1">
        <v>45561</v>
      </c>
      <c r="B1982" t="s">
        <v>10</v>
      </c>
      <c r="C1982" t="s">
        <v>18</v>
      </c>
      <c r="D1982" t="s">
        <v>37</v>
      </c>
      <c r="E1982">
        <v>16</v>
      </c>
      <c r="F1982">
        <v>291</v>
      </c>
      <c r="G1982" t="s">
        <v>39</v>
      </c>
      <c r="H1982">
        <v>4656</v>
      </c>
      <c r="I1982">
        <v>4021.964322777756</v>
      </c>
      <c r="J1982">
        <v>634.03567722224443</v>
      </c>
    </row>
    <row r="1983" spans="1:10" x14ac:dyDescent="0.35">
      <c r="A1983" s="1">
        <v>45371</v>
      </c>
      <c r="B1983" t="s">
        <v>50</v>
      </c>
      <c r="C1983" t="s">
        <v>17</v>
      </c>
      <c r="D1983" t="s">
        <v>30</v>
      </c>
      <c r="E1983">
        <v>8</v>
      </c>
      <c r="F1983">
        <v>690</v>
      </c>
      <c r="G1983" t="s">
        <v>38</v>
      </c>
      <c r="H1983">
        <v>5520</v>
      </c>
      <c r="I1983">
        <v>4472.7059365169653</v>
      </c>
      <c r="J1983">
        <v>1047.294063483035</v>
      </c>
    </row>
    <row r="1984" spans="1:10" x14ac:dyDescent="0.35">
      <c r="A1984" s="1">
        <v>45384</v>
      </c>
      <c r="B1984" t="s">
        <v>11</v>
      </c>
      <c r="C1984" t="s">
        <v>21</v>
      </c>
      <c r="D1984" t="s">
        <v>30</v>
      </c>
      <c r="E1984">
        <v>12</v>
      </c>
      <c r="F1984">
        <v>689</v>
      </c>
      <c r="G1984" t="s">
        <v>40</v>
      </c>
      <c r="H1984">
        <v>8268</v>
      </c>
      <c r="I1984">
        <v>6007.6990500360389</v>
      </c>
      <c r="J1984">
        <v>2260.3009499639611</v>
      </c>
    </row>
    <row r="1985" spans="1:10" x14ac:dyDescent="0.35">
      <c r="A1985" s="1">
        <v>45557</v>
      </c>
      <c r="B1985" t="s">
        <v>12</v>
      </c>
      <c r="C1985" t="s">
        <v>19</v>
      </c>
      <c r="D1985" t="s">
        <v>35</v>
      </c>
      <c r="E1985">
        <v>3</v>
      </c>
      <c r="F1985">
        <v>758</v>
      </c>
      <c r="G1985" t="s">
        <v>40</v>
      </c>
      <c r="H1985">
        <v>2274</v>
      </c>
      <c r="I1985">
        <v>1877.6490583866309</v>
      </c>
      <c r="J1985">
        <v>396.3509416133686</v>
      </c>
    </row>
    <row r="1986" spans="1:10" x14ac:dyDescent="0.35">
      <c r="A1986" s="1">
        <v>45623</v>
      </c>
      <c r="B1986" t="s">
        <v>10</v>
      </c>
      <c r="C1986" t="s">
        <v>19</v>
      </c>
      <c r="D1986" t="s">
        <v>35</v>
      </c>
      <c r="E1986">
        <v>17</v>
      </c>
      <c r="F1986">
        <v>206</v>
      </c>
      <c r="G1986" t="s">
        <v>40</v>
      </c>
      <c r="H1986">
        <v>3502</v>
      </c>
      <c r="I1986">
        <v>2880.1568136177088</v>
      </c>
      <c r="J1986">
        <v>621.8431863822907</v>
      </c>
    </row>
    <row r="1987" spans="1:10" x14ac:dyDescent="0.35">
      <c r="A1987" s="1">
        <v>45641</v>
      </c>
      <c r="B1987" t="s">
        <v>13</v>
      </c>
      <c r="C1987" t="s">
        <v>18</v>
      </c>
      <c r="D1987" t="s">
        <v>32</v>
      </c>
      <c r="E1987">
        <v>18</v>
      </c>
      <c r="F1987">
        <v>481</v>
      </c>
      <c r="G1987" t="s">
        <v>39</v>
      </c>
      <c r="H1987">
        <v>8658</v>
      </c>
      <c r="I1987">
        <v>5298.8533070130379</v>
      </c>
      <c r="J1987">
        <v>3359.1466929869621</v>
      </c>
    </row>
    <row r="1988" spans="1:10" x14ac:dyDescent="0.35">
      <c r="A1988" s="1">
        <v>45652</v>
      </c>
      <c r="B1988" t="s">
        <v>11</v>
      </c>
      <c r="C1988" t="s">
        <v>24</v>
      </c>
      <c r="D1988" t="s">
        <v>36</v>
      </c>
      <c r="E1988">
        <v>11</v>
      </c>
      <c r="F1988">
        <v>882</v>
      </c>
      <c r="G1988" t="s">
        <v>40</v>
      </c>
      <c r="H1988">
        <v>9702</v>
      </c>
      <c r="I1988">
        <v>7789.4839711871909</v>
      </c>
      <c r="J1988">
        <v>1912.5160288128091</v>
      </c>
    </row>
    <row r="1989" spans="1:10" x14ac:dyDescent="0.35">
      <c r="A1989" s="1">
        <v>45548</v>
      </c>
      <c r="B1989" t="s">
        <v>13</v>
      </c>
      <c r="C1989" t="s">
        <v>22</v>
      </c>
      <c r="D1989" t="s">
        <v>35</v>
      </c>
      <c r="E1989">
        <v>4</v>
      </c>
      <c r="F1989">
        <v>489</v>
      </c>
      <c r="G1989" t="s">
        <v>40</v>
      </c>
      <c r="H1989">
        <v>1956</v>
      </c>
      <c r="I1989">
        <v>1549.663911089252</v>
      </c>
      <c r="J1989">
        <v>406.336088910748</v>
      </c>
    </row>
    <row r="1990" spans="1:10" x14ac:dyDescent="0.35">
      <c r="A1990" s="1">
        <v>45424</v>
      </c>
      <c r="B1990" t="s">
        <v>11</v>
      </c>
      <c r="C1990" t="s">
        <v>21</v>
      </c>
      <c r="D1990" t="s">
        <v>35</v>
      </c>
      <c r="E1990">
        <v>16</v>
      </c>
      <c r="F1990">
        <v>343</v>
      </c>
      <c r="G1990" t="s">
        <v>40</v>
      </c>
      <c r="H1990">
        <v>5488</v>
      </c>
      <c r="I1990">
        <v>4879.565970195802</v>
      </c>
      <c r="J1990">
        <v>608.43402980419796</v>
      </c>
    </row>
    <row r="1991" spans="1:10" x14ac:dyDescent="0.35">
      <c r="A1991" s="1">
        <v>45567</v>
      </c>
      <c r="B1991" t="s">
        <v>12</v>
      </c>
      <c r="C1991" t="s">
        <v>17</v>
      </c>
      <c r="D1991" t="s">
        <v>36</v>
      </c>
      <c r="E1991">
        <v>17</v>
      </c>
      <c r="F1991">
        <v>684</v>
      </c>
      <c r="G1991" t="s">
        <v>38</v>
      </c>
      <c r="H1991">
        <v>11628</v>
      </c>
      <c r="I1991">
        <v>10348.76631328132</v>
      </c>
      <c r="J1991">
        <v>1279.23368671868</v>
      </c>
    </row>
    <row r="1992" spans="1:10" x14ac:dyDescent="0.35">
      <c r="A1992" s="1">
        <v>45555</v>
      </c>
      <c r="B1992" t="s">
        <v>12</v>
      </c>
      <c r="C1992" t="s">
        <v>18</v>
      </c>
      <c r="D1992" t="s">
        <v>32</v>
      </c>
      <c r="E1992">
        <v>9</v>
      </c>
      <c r="F1992">
        <v>968</v>
      </c>
      <c r="G1992" t="s">
        <v>39</v>
      </c>
      <c r="H1992">
        <v>8712</v>
      </c>
      <c r="I1992">
        <v>6214.6163189616618</v>
      </c>
      <c r="J1992">
        <v>2497.3836810383382</v>
      </c>
    </row>
    <row r="1993" spans="1:10" x14ac:dyDescent="0.35">
      <c r="A1993" s="1">
        <v>45462</v>
      </c>
      <c r="B1993" t="s">
        <v>12</v>
      </c>
      <c r="C1993" t="s">
        <v>28</v>
      </c>
      <c r="D1993" t="s">
        <v>37</v>
      </c>
      <c r="E1993">
        <v>6</v>
      </c>
      <c r="F1993">
        <v>567</v>
      </c>
      <c r="G1993" t="s">
        <v>40</v>
      </c>
      <c r="H1993">
        <v>3402</v>
      </c>
      <c r="I1993">
        <v>2643.1926552731161</v>
      </c>
      <c r="J1993">
        <v>758.80734472688437</v>
      </c>
    </row>
    <row r="1994" spans="1:10" x14ac:dyDescent="0.35">
      <c r="A1994" s="1">
        <v>45292</v>
      </c>
      <c r="B1994" t="s">
        <v>12</v>
      </c>
      <c r="C1994" t="s">
        <v>18</v>
      </c>
      <c r="D1994" t="s">
        <v>30</v>
      </c>
      <c r="E1994">
        <v>2</v>
      </c>
      <c r="F1994">
        <v>965</v>
      </c>
      <c r="G1994" t="s">
        <v>39</v>
      </c>
      <c r="H1994">
        <v>1930</v>
      </c>
      <c r="I1994">
        <v>1239.8459200603711</v>
      </c>
      <c r="J1994">
        <v>690.1540799396289</v>
      </c>
    </row>
    <row r="1995" spans="1:10" x14ac:dyDescent="0.35">
      <c r="A1995" s="1">
        <v>45604</v>
      </c>
      <c r="B1995" t="s">
        <v>12</v>
      </c>
      <c r="C1995" t="s">
        <v>24</v>
      </c>
      <c r="D1995" t="s">
        <v>37</v>
      </c>
      <c r="E1995">
        <v>9</v>
      </c>
      <c r="F1995">
        <v>1033</v>
      </c>
      <c r="G1995" t="s">
        <v>40</v>
      </c>
      <c r="H1995">
        <v>9297</v>
      </c>
      <c r="I1995">
        <v>5763.5538965470423</v>
      </c>
      <c r="J1995">
        <v>3533.4461034529581</v>
      </c>
    </row>
    <row r="1996" spans="1:10" x14ac:dyDescent="0.35">
      <c r="A1996" s="1">
        <v>45355</v>
      </c>
      <c r="B1996" t="s">
        <v>13</v>
      </c>
      <c r="C1996" t="s">
        <v>20</v>
      </c>
      <c r="D1996" t="s">
        <v>35</v>
      </c>
      <c r="E1996">
        <v>6</v>
      </c>
      <c r="F1996">
        <v>1661</v>
      </c>
      <c r="G1996" t="s">
        <v>38</v>
      </c>
      <c r="H1996">
        <v>9966</v>
      </c>
      <c r="I1996">
        <v>7273.5252620796673</v>
      </c>
      <c r="J1996">
        <v>2692.4747379203332</v>
      </c>
    </row>
    <row r="1997" spans="1:10" x14ac:dyDescent="0.35">
      <c r="A1997" s="1">
        <v>45575</v>
      </c>
      <c r="B1997" t="s">
        <v>12</v>
      </c>
      <c r="C1997" t="s">
        <v>20</v>
      </c>
      <c r="D1997" t="s">
        <v>36</v>
      </c>
      <c r="E1997">
        <v>3</v>
      </c>
      <c r="F1997">
        <v>1333</v>
      </c>
      <c r="G1997" t="s">
        <v>38</v>
      </c>
      <c r="H1997">
        <v>3999</v>
      </c>
      <c r="I1997">
        <v>3227.0514483987622</v>
      </c>
      <c r="J1997">
        <v>771.9485516012378</v>
      </c>
    </row>
    <row r="1998" spans="1:10" x14ac:dyDescent="0.35">
      <c r="A1998" s="1">
        <v>45412</v>
      </c>
      <c r="B1998" t="s">
        <v>10</v>
      </c>
      <c r="C1998" t="s">
        <v>24</v>
      </c>
      <c r="D1998" t="s">
        <v>35</v>
      </c>
      <c r="E1998">
        <v>6</v>
      </c>
      <c r="F1998">
        <v>703</v>
      </c>
      <c r="G1998" t="s">
        <v>40</v>
      </c>
      <c r="H1998">
        <v>4218</v>
      </c>
      <c r="I1998">
        <v>3249.2449241555441</v>
      </c>
      <c r="J1998">
        <v>968.75507584445631</v>
      </c>
    </row>
    <row r="1999" spans="1:10" x14ac:dyDescent="0.35">
      <c r="A1999" s="1">
        <v>45398</v>
      </c>
      <c r="B1999" t="s">
        <v>10</v>
      </c>
      <c r="C1999" t="s">
        <v>17</v>
      </c>
      <c r="D1999" t="s">
        <v>34</v>
      </c>
      <c r="E1999">
        <v>7</v>
      </c>
      <c r="F1999">
        <v>1760</v>
      </c>
      <c r="G1999" t="s">
        <v>38</v>
      </c>
      <c r="H1999">
        <v>12320</v>
      </c>
      <c r="I1999">
        <v>8980.0119843994635</v>
      </c>
      <c r="J1999">
        <v>3339.988015600537</v>
      </c>
    </row>
    <row r="2000" spans="1:10" x14ac:dyDescent="0.35">
      <c r="A2000" s="1">
        <v>45466</v>
      </c>
      <c r="B2000" t="s">
        <v>13</v>
      </c>
      <c r="C2000" t="s">
        <v>23</v>
      </c>
      <c r="D2000" t="s">
        <v>33</v>
      </c>
      <c r="E2000">
        <v>1</v>
      </c>
      <c r="F2000">
        <v>1114</v>
      </c>
      <c r="G2000" t="s">
        <v>39</v>
      </c>
      <c r="H2000">
        <v>1114</v>
      </c>
      <c r="I2000">
        <v>941.81321313206843</v>
      </c>
      <c r="J2000">
        <v>172.1867868679316</v>
      </c>
    </row>
    <row r="2001" spans="1:10" x14ac:dyDescent="0.35">
      <c r="A2001" s="1">
        <v>45495</v>
      </c>
      <c r="B2001" t="s">
        <v>11</v>
      </c>
      <c r="C2001" t="s">
        <v>24</v>
      </c>
      <c r="D2001" t="s">
        <v>37</v>
      </c>
      <c r="E2001">
        <v>1</v>
      </c>
      <c r="F2001">
        <v>1196</v>
      </c>
      <c r="G2001" t="s">
        <v>40</v>
      </c>
      <c r="H2001">
        <v>1196</v>
      </c>
      <c r="I2001">
        <v>1002.640577019528</v>
      </c>
      <c r="J2001">
        <v>193.35942298047149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2025-08-25T17:33:08Z</dcterms:created>
  <dcterms:modified xsi:type="dcterms:W3CDTF">2026-06-25T10:01:39Z</dcterms:modified>
</cp:coreProperties>
</file>